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300" windowWidth="18735" windowHeight="11700"/>
  </bookViews>
  <sheets>
    <sheet name="Home" sheetId="14" r:id="rId1"/>
    <sheet name="Data" sheetId="15" r:id="rId2"/>
    <sheet name="Blank page" sheetId="17" r:id="rId3"/>
    <sheet name="BlankPage" sheetId="10" state="veryHidden" r:id="rId4"/>
    <sheet name="WelcomePage" sheetId="18" state="veryHidden" r:id="rId5"/>
    <sheet name="DevFrame" sheetId="11" state="veryHidden" r:id="rId6"/>
  </sheets>
  <functionGroups/>
  <definedNames>
    <definedName name="AllowAddSheet" hidden="1">DevFrame!$D$11</definedName>
    <definedName name="ButtonText" hidden="1">WelcomePage!$E$30</definedName>
    <definedName name="ButtonText2" hidden="1">WelcomePage!$E$36</definedName>
    <definedName name="ButtonText3" hidden="1">WelcomePage!$E$48</definedName>
    <definedName name="ClosedActivity" hidden="1">DevFrame!$F$3:$F$4</definedName>
    <definedName name="DevFramePassword" hidden="1">DevFrame!$F$8</definedName>
    <definedName name="EnableSelection" localSheetId="2" hidden="1">'Blank page'!$B$23</definedName>
    <definedName name="EnableSelection" localSheetId="3" hidden="1">BlankPage!$B$23</definedName>
    <definedName name="EnableSelection" localSheetId="1" hidden="1">Data!$B$23</definedName>
    <definedName name="EnableSelection" localSheetId="5" hidden="1">DevFrame!$B$23</definedName>
    <definedName name="EnableSelection" localSheetId="0" hidden="1">Home!$B$24</definedName>
    <definedName name="EnableSelection" localSheetId="4" hidden="1">WelcomePage!$B$23</definedName>
    <definedName name="FreeMaterialLink" hidden="1">WelcomePage!$E$39</definedName>
    <definedName name="FreeMaterialText" hidden="1">WelcomePage!$E$33</definedName>
    <definedName name="HiddenStatuses" hidden="1">DevFrame!$D$3:$D$5</definedName>
    <definedName name="MarkProtectedCellsStatus" localSheetId="5" hidden="1">DevFrame!$B$26</definedName>
    <definedName name="MarkProtectedCellsStatus" localSheetId="0" hidden="1">Home!$B$27</definedName>
    <definedName name="NotShowAgain" hidden="1">WelcomePage!$F$9</definedName>
    <definedName name="OpenedTimes" hidden="1">WelcomePage!$F$8</definedName>
    <definedName name="Other_settings" localSheetId="2" hidden="1">'Blank page'!$A$25:$B$26</definedName>
    <definedName name="Other_settings" localSheetId="3" hidden="1">BlankPage!$A$25:$B$26</definedName>
    <definedName name="Other_settings" localSheetId="1" hidden="1">Data!$A$25:$B$26</definedName>
    <definedName name="Other_settings" localSheetId="5" hidden="1">DevFrame!$A$25:$B$26</definedName>
    <definedName name="Other_settings" localSheetId="4" hidden="1">WelcomePage!$A$25:$B$26</definedName>
    <definedName name="PageAllowDeletingColumns" localSheetId="2" hidden="1">'Blank page'!$B$18</definedName>
    <definedName name="PageAllowDeletingColumns" localSheetId="3" hidden="1">BlankPage!$B$18</definedName>
    <definedName name="PageAllowDeletingColumns" localSheetId="1" hidden="1">Data!$B$18</definedName>
    <definedName name="PageAllowDeletingColumns" localSheetId="5" hidden="1">DevFrame!$B$18</definedName>
    <definedName name="PageAllowDeletingColumns" localSheetId="0" hidden="1">Home!$B$19</definedName>
    <definedName name="PageAllowDeletingColumns" localSheetId="4" hidden="1">WelcomePage!$B$18</definedName>
    <definedName name="PageAllowDeletingRows" localSheetId="2" hidden="1">'Blank page'!$B$19</definedName>
    <definedName name="PageAllowDeletingRows" localSheetId="3" hidden="1">BlankPage!$B$19</definedName>
    <definedName name="PageAllowDeletingRows" localSheetId="1" hidden="1">Data!$B$19</definedName>
    <definedName name="PageAllowDeletingRows" localSheetId="5" hidden="1">DevFrame!$B$19</definedName>
    <definedName name="PageAllowDeletingRows" localSheetId="0" hidden="1">Home!$B$20</definedName>
    <definedName name="PageAllowDeletingRows" localSheetId="4" hidden="1">WelcomePage!$B$19</definedName>
    <definedName name="PageAllowFiltering" localSheetId="2" hidden="1">'Blank page'!$B$21</definedName>
    <definedName name="PageAllowFiltering" localSheetId="3" hidden="1">BlankPage!$B$21</definedName>
    <definedName name="PageAllowFiltering" localSheetId="1" hidden="1">Data!$B$21</definedName>
    <definedName name="PageAllowFiltering" localSheetId="5" hidden="1">DevFrame!$B$21</definedName>
    <definedName name="PageAllowFiltering" localSheetId="0" hidden="1">Home!$B$22</definedName>
    <definedName name="PageAllowFiltering" localSheetId="4" hidden="1">WelcomePage!$B$21</definedName>
    <definedName name="PageAllowFormattingCells" localSheetId="2" hidden="1">'Blank page'!$B$12</definedName>
    <definedName name="PageAllowFormattingCells" localSheetId="3" hidden="1">BlankPage!$B$12</definedName>
    <definedName name="PageAllowFormattingCells" localSheetId="1" hidden="1">Data!$B$12</definedName>
    <definedName name="PageAllowFormattingCells" localSheetId="5" hidden="1">DevFrame!$B$12</definedName>
    <definedName name="PageAllowFormattingCells" localSheetId="0" hidden="1">Home!$B$12</definedName>
    <definedName name="PageAllowFormattingCells" localSheetId="4" hidden="1">WelcomePage!$B$12</definedName>
    <definedName name="PageAllowFormattingColumns" localSheetId="2" hidden="1">'Blank page'!$B$13</definedName>
    <definedName name="PageAllowFormattingColumns" localSheetId="3" hidden="1">BlankPage!$B$13</definedName>
    <definedName name="PageAllowFormattingColumns" localSheetId="1" hidden="1">Data!$B$13</definedName>
    <definedName name="PageAllowFormattingColumns" localSheetId="5" hidden="1">DevFrame!$B$13</definedName>
    <definedName name="PageAllowFormattingColumns" localSheetId="0" hidden="1">Home!$B$14</definedName>
    <definedName name="PageAllowFormattingColumns" localSheetId="4" hidden="1">WelcomePage!$B$13</definedName>
    <definedName name="PageAllowFormattingRows" localSheetId="2" hidden="1">'Blank page'!$B$14</definedName>
    <definedName name="PageAllowFormattingRows" localSheetId="3" hidden="1">BlankPage!$B$14</definedName>
    <definedName name="PageAllowFormattingRows" localSheetId="1" hidden="1">Data!$B$14</definedName>
    <definedName name="PageAllowFormattingRows" localSheetId="5" hidden="1">DevFrame!$B$14</definedName>
    <definedName name="PageAllowFormattingRows" localSheetId="0" hidden="1">Home!$B$15</definedName>
    <definedName name="PageAllowFormattingRows" localSheetId="4" hidden="1">WelcomePage!$B$14</definedName>
    <definedName name="PageAllowInsertingColumns" localSheetId="2" hidden="1">'Blank page'!$B$15</definedName>
    <definedName name="PageAllowInsertingColumns" localSheetId="3" hidden="1">BlankPage!$B$15</definedName>
    <definedName name="PageAllowInsertingColumns" localSheetId="1" hidden="1">Data!$B$15</definedName>
    <definedName name="PageAllowInsertingColumns" localSheetId="5" hidden="1">DevFrame!$B$15</definedName>
    <definedName name="PageAllowInsertingColumns" localSheetId="0" hidden="1">Home!$B$16</definedName>
    <definedName name="PageAllowInsertingColumns" localSheetId="4" hidden="1">WelcomePage!$B$15</definedName>
    <definedName name="PageAllowInsertingHyperlinks" localSheetId="2" hidden="1">'Blank page'!$B$17</definedName>
    <definedName name="PageAllowInsertingHyperlinks" localSheetId="3" hidden="1">BlankPage!$B$17</definedName>
    <definedName name="PageAllowInsertingHyperlinks" localSheetId="1" hidden="1">Data!$B$17</definedName>
    <definedName name="PageAllowInsertingHyperlinks" localSheetId="5" hidden="1">DevFrame!$B$17</definedName>
    <definedName name="PageAllowInsertingHyperlinks" localSheetId="0" hidden="1">Home!$B$18</definedName>
    <definedName name="PageAllowInsertingHyperlinks" localSheetId="4" hidden="1">WelcomePage!$B$17</definedName>
    <definedName name="PageAllowInsertingRows" localSheetId="2" hidden="1">'Blank page'!$B$16</definedName>
    <definedName name="PageAllowInsertingRows" localSheetId="3" hidden="1">BlankPage!$B$16</definedName>
    <definedName name="PageAllowInsertingRows" localSheetId="1" hidden="1">Data!$B$16</definedName>
    <definedName name="PageAllowInsertingRows" localSheetId="5" hidden="1">DevFrame!$B$16</definedName>
    <definedName name="PageAllowInsertingRows" localSheetId="0" hidden="1">Home!$B$17</definedName>
    <definedName name="PageAllowInsertingRows" localSheetId="4" hidden="1">WelcomePage!$B$16</definedName>
    <definedName name="PageAllowSorting" localSheetId="2" hidden="1">'Blank page'!$B$20</definedName>
    <definedName name="PageAllowSorting" localSheetId="3" hidden="1">BlankPage!$B$20</definedName>
    <definedName name="PageAllowSorting" localSheetId="1" hidden="1">Data!$B$20</definedName>
    <definedName name="PageAllowSorting" localSheetId="5" hidden="1">DevFrame!$B$20</definedName>
    <definedName name="PageAllowSorting" localSheetId="0" hidden="1">Home!$B$21</definedName>
    <definedName name="PageAllowSorting" localSheetId="4" hidden="1">WelcomePage!$B$20</definedName>
    <definedName name="PageAllowUsingPivotTables" localSheetId="2" hidden="1">'Blank page'!$B$22</definedName>
    <definedName name="PageAllowUsingPivotTables" localSheetId="3" hidden="1">BlankPage!$B$22</definedName>
    <definedName name="PageAllowUsingPivotTables" localSheetId="1" hidden="1">Data!$B$22</definedName>
    <definedName name="PageAllowUsingPivotTables" localSheetId="5" hidden="1">DevFrame!$B$22</definedName>
    <definedName name="PageAllowUsingPivotTables" localSheetId="0" hidden="1">Home!$B$23</definedName>
    <definedName name="PageAllowUsingPivotTables" localSheetId="4" hidden="1">WelcomePage!$B$22</definedName>
    <definedName name="PageContents" localSheetId="2" hidden="1">'Blank page'!$B$9</definedName>
    <definedName name="PageContents" localSheetId="3" hidden="1">BlankPage!$B$9</definedName>
    <definedName name="PageContents" localSheetId="1" hidden="1">Data!$B$9</definedName>
    <definedName name="PageContents" localSheetId="5" hidden="1">DevFrame!$B$9</definedName>
    <definedName name="PageContents" localSheetId="0" hidden="1">Home!$B$9</definedName>
    <definedName name="PageContents" localSheetId="4" hidden="1">WelcomePage!$B$9</definedName>
    <definedName name="PageDrawingObjects" localSheetId="2" hidden="1">'Blank page'!$B$8</definedName>
    <definedName name="PageDrawingObjects" localSheetId="3" hidden="1">BlankPage!$B$8</definedName>
    <definedName name="PageDrawingObjects" localSheetId="1" hidden="1">Data!$B$8</definedName>
    <definedName name="PageDrawingObjects" localSheetId="5" hidden="1">DevFrame!$B$8</definedName>
    <definedName name="PageDrawingObjects" localSheetId="0" hidden="1">Home!$B$8</definedName>
    <definedName name="PageDrawingObjects" localSheetId="4" hidden="1">WelcomePage!$B$8</definedName>
    <definedName name="PageGridlineVisibility" localSheetId="2" hidden="1">'Blank page'!$B$5</definedName>
    <definedName name="PageGridlineVisibility" localSheetId="3" hidden="1">BlankPage!$B$5</definedName>
    <definedName name="PageGridlineVisibility" localSheetId="1" hidden="1">Data!$B$5</definedName>
    <definedName name="PageGridlineVisibility" localSheetId="5" hidden="1">DevFrame!$B$5</definedName>
    <definedName name="PageGridlineVisibility" localSheetId="0" hidden="1">Home!$B$5</definedName>
    <definedName name="PageGridlineVisibility" localSheetId="4" hidden="1">WelcomePage!$B$5</definedName>
    <definedName name="PageHeadingsVisibility" localSheetId="2" hidden="1">'Blank page'!$B$4</definedName>
    <definedName name="PageHeadingsVisibility" localSheetId="3" hidden="1">BlankPage!$B$4</definedName>
    <definedName name="PageHeadingsVisibility" localSheetId="1" hidden="1">Data!$B$4</definedName>
    <definedName name="PageHeadingsVisibility" localSheetId="5" hidden="1">DevFrame!$B$4</definedName>
    <definedName name="PageHeadingsVisibility" localSheetId="0" hidden="1">Home!$B$4</definedName>
    <definedName name="PageHeadingsVisibility" localSheetId="4" hidden="1">WelcomePage!$B$4</definedName>
    <definedName name="PageHiddenStatus" localSheetId="2" hidden="1">'Blank page'!$B$2</definedName>
    <definedName name="PageHiddenStatus" localSheetId="3" hidden="1">BlankPage!$B$2</definedName>
    <definedName name="PageHiddenStatus" localSheetId="1" hidden="1">Data!$B$2</definedName>
    <definedName name="PageHiddenStatus" localSheetId="5" hidden="1">DevFrame!$B$2</definedName>
    <definedName name="PageHiddenStatus" localSheetId="0" hidden="1">Home!$B$2</definedName>
    <definedName name="PageHiddenStatus" localSheetId="4" hidden="1">WelcomePage!$B$2</definedName>
    <definedName name="PageProtectSheet" localSheetId="2" hidden="1">'Blank page'!$B$3</definedName>
    <definedName name="PageProtectSheet" localSheetId="3" hidden="1">BlankPage!$B$3</definedName>
    <definedName name="PageProtectSheet" localSheetId="1" hidden="1">Data!$B$3</definedName>
    <definedName name="PageProtectSheet" localSheetId="5" hidden="1">DevFrame!$B$3</definedName>
    <definedName name="PageProtectSheet" localSheetId="0" hidden="1">Home!$B$3</definedName>
    <definedName name="PageProtectSheet" localSheetId="4" hidden="1">WelcomePage!$B$3</definedName>
    <definedName name="PageScenarios" localSheetId="2" hidden="1">'Blank page'!$B$10</definedName>
    <definedName name="PageScenarios" localSheetId="3" hidden="1">BlankPage!$B$10</definedName>
    <definedName name="PageScenarios" localSheetId="1" hidden="1">Data!$B$10</definedName>
    <definedName name="PageScenarios" localSheetId="5" hidden="1">DevFrame!$B$10</definedName>
    <definedName name="PageScenarios" localSheetId="0" hidden="1">Home!$B$10</definedName>
    <definedName name="PageScenarios" localSheetId="4" hidden="1">WelcomePage!$B$10</definedName>
    <definedName name="PagesPassword" hidden="1">DevFrame!$E$8</definedName>
    <definedName name="PageUserInterfaceOnly" localSheetId="2" hidden="1">'Blank page'!$B$11</definedName>
    <definedName name="PageUserInterfaceOnly" localSheetId="3" hidden="1">BlankPage!$B$11</definedName>
    <definedName name="PageUserInterfaceOnly" localSheetId="1" hidden="1">Data!$B$11</definedName>
    <definedName name="PageUserInterfaceOnly" localSheetId="5" hidden="1">DevFrame!$B$11</definedName>
    <definedName name="PageUserInterfaceOnly" localSheetId="0" hidden="1">Home!$B$11</definedName>
    <definedName name="PageUserInterfaceOnly" localSheetId="4" hidden="1">WelcomePage!$B$11</definedName>
    <definedName name="PowerX" localSheetId="2" hidden="1">'Blank page'!$I$13</definedName>
    <definedName name="PowerX" hidden="1">Data!$I$13</definedName>
    <definedName name="PowerY" localSheetId="2" hidden="1">'Blank page'!$J$9</definedName>
    <definedName name="PowerY" hidden="1">Data!$J$9</definedName>
    <definedName name="ProgrammingMode" hidden="1">DevFrame!$D$8</definedName>
    <definedName name="ReminderText1" hidden="1">WelcomePage!$E$42</definedName>
    <definedName name="ReminderText2" hidden="1">WelcomePage!$E$45</definedName>
    <definedName name="RowColumnDimensionStatus" localSheetId="2" hidden="1">'Blank page'!$B$27</definedName>
    <definedName name="RowColumnDimensionStatus" localSheetId="3" hidden="1">BlankPage!$B$27</definedName>
    <definedName name="RowColumnDimensionStatus" localSheetId="1" hidden="1">Data!$B$27</definedName>
    <definedName name="RowColumnDimensionStatus" localSheetId="5" hidden="1">DevFrame!$B$27</definedName>
    <definedName name="RowColumnDimensionStatus" localSheetId="0" hidden="1">Home!$B$28</definedName>
    <definedName name="RowColumnDimensionStatus" localSheetId="4" hidden="1">WelcomePage!$B$27</definedName>
    <definedName name="ServicesLink" hidden="1">WelcomePage!$E$51</definedName>
    <definedName name="SpreadsheetName" hidden="1">WelcomePage!$E$16</definedName>
    <definedName name="TableStart" localSheetId="2" hidden="1">'Blank page'!$E$7</definedName>
    <definedName name="TableStart" localSheetId="3" hidden="1">BlankPage!$E$6</definedName>
    <definedName name="TableStart" localSheetId="1" hidden="1">Data!$E$7</definedName>
    <definedName name="TableStart" localSheetId="4" hidden="1">WelcomePage!#REF!</definedName>
    <definedName name="TableStartColumn" localSheetId="2" hidden="1">'Blank page'!$B$33</definedName>
    <definedName name="TableStartColumn" localSheetId="3" hidden="1">BlankPage!$B$33</definedName>
    <definedName name="TableStartColumn" localSheetId="1" hidden="1">Data!$B$33</definedName>
    <definedName name="TableStartColumn" localSheetId="4" hidden="1">WelcomePage!$B$33</definedName>
    <definedName name="TableStartRow" localSheetId="2" hidden="1">'Blank page'!$B$32</definedName>
    <definedName name="TableStartRow" localSheetId="3" hidden="1">BlankPage!$B$32</definedName>
    <definedName name="TableStartRow" localSheetId="1" hidden="1">Data!$B$32</definedName>
    <definedName name="TableStartRow" localSheetId="4" hidden="1">WelcomePage!$B$32</definedName>
    <definedName name="TrueFalse" hidden="1">DevFrame!$E$3:$E$4</definedName>
    <definedName name="VideoLink" hidden="1">WelcomePage!$E$19</definedName>
    <definedName name="WelcomeText1" hidden="1">WelcomePage!$E$26</definedName>
    <definedName name="WelcomeText2" hidden="1">WelcomePage!$E$27</definedName>
  </definedNames>
  <calcPr calcId="125725"/>
</workbook>
</file>

<file path=xl/calcChain.xml><?xml version="1.0" encoding="utf-8"?>
<calcChain xmlns="http://schemas.openxmlformats.org/spreadsheetml/2006/main">
  <c r="E27" i="18"/>
  <c r="B33"/>
  <c r="B32"/>
  <c r="B33" i="17" l="1"/>
  <c r="B32"/>
  <c r="F13" i="15"/>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12"/>
  <c r="B33" l="1"/>
  <c r="B32"/>
  <c r="B33" i="10"/>
  <c r="B32"/>
</calcChain>
</file>

<file path=xl/sharedStrings.xml><?xml version="1.0" encoding="utf-8"?>
<sst xmlns="http://schemas.openxmlformats.org/spreadsheetml/2006/main" count="312" uniqueCount="153">
  <si>
    <t>HiddenStatus</t>
  </si>
  <si>
    <t>Password</t>
  </si>
  <si>
    <t>HeadingsVisibility</t>
  </si>
  <si>
    <t>HiddenStatuses</t>
  </si>
  <si>
    <t>TrueFalse</t>
  </si>
  <si>
    <t>ProgrammingMode</t>
  </si>
  <si>
    <t>GridlineVisibility</t>
  </si>
  <si>
    <t>H</t>
  </si>
  <si>
    <t>ProtectSheet</t>
  </si>
  <si>
    <t>DevFramePassword</t>
  </si>
  <si>
    <t>DevFrame settings</t>
  </si>
  <si>
    <t>VISIBLE</t>
  </si>
  <si>
    <t>HIDDEN</t>
  </si>
  <si>
    <t>VERY HIDDEN</t>
  </si>
  <si>
    <t>DrawingObjects</t>
  </si>
  <si>
    <t>Contents</t>
  </si>
  <si>
    <t>Scenarios</t>
  </si>
  <si>
    <t>UserInterfaceOnly</t>
  </si>
  <si>
    <t>AllowFormattingCells</t>
  </si>
  <si>
    <t>AllowFormattingColumns</t>
  </si>
  <si>
    <t>AllowFormattingRows</t>
  </si>
  <si>
    <t>AllowInsertingColumns</t>
  </si>
  <si>
    <t>AllowInsertingRows</t>
  </si>
  <si>
    <t>AllowInsertingHyperlinks</t>
  </si>
  <si>
    <t>AllowDeletingColumns</t>
  </si>
  <si>
    <t>AllowDeletingRows</t>
  </si>
  <si>
    <t>AllowSorting</t>
  </si>
  <si>
    <t>AllowFiltering</t>
  </si>
  <si>
    <t>AllowUsingPivotTables</t>
  </si>
  <si>
    <t>Protection settings</t>
  </si>
  <si>
    <t>DEVELOPMENT FRAME</t>
  </si>
  <si>
    <t>Features:</t>
  </si>
  <si>
    <t>- Define visibility status of each sheet</t>
  </si>
  <si>
    <t>- Define which cells to protect</t>
  </si>
  <si>
    <t>- Protect sheet with password</t>
  </si>
  <si>
    <t>- Define if to show the headings of each page</t>
  </si>
  <si>
    <t>- Define if to show the gridline in each page</t>
  </si>
  <si>
    <t>- Dev frame is protected by separate password</t>
  </si>
  <si>
    <t>- Define which rows and columns to hide</t>
  </si>
  <si>
    <t xml:space="preserve">      - Rows and columns with "H" are hidden</t>
  </si>
  <si>
    <t xml:space="preserve">      - From the last "H", all the following rows (or columns) are hidden</t>
  </si>
  <si>
    <t>Activation:</t>
  </si>
  <si>
    <t>- Activate development frame: CTRL + r</t>
  </si>
  <si>
    <t>- Protect a selected cell: CTRL + p</t>
  </si>
  <si>
    <t>- Unprotect a selected cell: CTRL + o</t>
  </si>
  <si>
    <t>Features</t>
  </si>
  <si>
    <t>Terms of use</t>
  </si>
  <si>
    <t>Disclaimer</t>
  </si>
  <si>
    <t>Version history</t>
  </si>
  <si>
    <t>Copyright</t>
  </si>
  <si>
    <t>Introduction</t>
  </si>
  <si>
    <t>AllowAddSheet</t>
  </si>
  <si>
    <t>Instructions</t>
  </si>
  <si>
    <t>Operation</t>
  </si>
  <si>
    <t>How to</t>
  </si>
  <si>
    <t>This spreadsheet is free for personal and commercial use, but it may not be altered or sold without the written permission of the author.</t>
  </si>
  <si>
    <t xml:space="preserve">This spreadsheet may be freely distributed, provided that no charge above the cost of distribution is levied, and that the terms of use and disclaimer are always attached to it.
This spreadsheet is provided as is without any guarantees or warranty.
</t>
  </si>
  <si>
    <t>First release</t>
  </si>
  <si>
    <t>Other settings</t>
  </si>
  <si>
    <t>MarkProtectedCellsStatus</t>
  </si>
  <si>
    <t>Release date</t>
  </si>
  <si>
    <t>Changed features</t>
  </si>
  <si>
    <t>Version</t>
  </si>
  <si>
    <t>First issue</t>
  </si>
  <si>
    <t>1.0</t>
  </si>
  <si>
    <t>1.1</t>
  </si>
  <si>
    <t>Updated SubErrorHandler (writes log file</t>
  </si>
  <si>
    <t>EnableSelection</t>
  </si>
  <si>
    <t>1.2</t>
  </si>
  <si>
    <t>Added EnableSelection option</t>
  </si>
  <si>
    <t>Added UserInterfaceOnly renewal at workbook open</t>
  </si>
  <si>
    <t>ENGINEXCEL</t>
  </si>
  <si>
    <r>
      <t xml:space="preserve">Email: </t>
    </r>
    <r>
      <rPr>
        <i/>
        <sz val="11"/>
        <color theme="0"/>
        <rFont val="Calibri"/>
        <family val="2"/>
        <scheme val="minor"/>
      </rPr>
      <t>alessandro@enginexcel.com</t>
    </r>
  </si>
  <si>
    <r>
      <t xml:space="preserve">Website: </t>
    </r>
    <r>
      <rPr>
        <sz val="11"/>
        <color theme="0"/>
        <rFont val="Calibri"/>
        <family val="2"/>
        <scheme val="minor"/>
      </rPr>
      <t>www.enginexcel.com</t>
    </r>
  </si>
  <si>
    <t>RowColumnDimensionStatus</t>
  </si>
  <si>
    <t>EnginExcel, All rights reserved</t>
  </si>
  <si>
    <t>Although the author has attempted to find and correct any bugs in the spreadsheet, the author is not responsible for any damage or losses of any kind caused by the use or misuse of the spreadsheet.
The author is under no obligation to provide support, service, corrections, or upgrades to the spreadsheet.
For more information, please send an email to the author (see contacts below).</t>
  </si>
  <si>
    <t>TableStartRow</t>
  </si>
  <si>
    <t>TableStartColumn</t>
  </si>
  <si>
    <t>TableStart</t>
  </si>
  <si>
    <t>HL</t>
  </si>
  <si>
    <t>1.4</t>
  </si>
  <si>
    <t>Added TableStart variable and HL row-hiding parameter</t>
  </si>
  <si>
    <t>Version control:</t>
  </si>
  <si>
    <t>1.5</t>
  </si>
  <si>
    <t>x</t>
  </si>
  <si>
    <t>y</t>
  </si>
  <si>
    <t>Data name:</t>
  </si>
  <si>
    <t>Chart name:</t>
  </si>
  <si>
    <t>Y axis name:</t>
  </si>
  <si>
    <t>X axis name:</t>
  </si>
  <si>
    <t>Series 1</t>
  </si>
  <si>
    <t>Series 2</t>
  </si>
  <si>
    <t>X axis</t>
  </si>
  <si>
    <t>Y axis</t>
  </si>
  <si>
    <t>ZOOM AND SCROLL CHART</t>
  </si>
  <si>
    <t>This spreadsheet allows to zoom and scroll scattered plot charts.</t>
  </si>
  <si>
    <t xml:space="preserve">      - Allows selection of which axis to zoom</t>
  </si>
  <si>
    <t xml:space="preserve">      - Allows to define the speed of the zoom</t>
  </si>
  <si>
    <t>- Chart zoom</t>
  </si>
  <si>
    <t>- Works with all Excel scattered plots</t>
  </si>
  <si>
    <t>- Chart scroll</t>
  </si>
  <si>
    <t xml:space="preserve">      - Allows to define the speed of the scroll</t>
  </si>
  <si>
    <t>- Reset view button</t>
  </si>
  <si>
    <t>- Excel Add-in available</t>
  </si>
  <si>
    <t>How to activate the zoom/move tool</t>
  </si>
  <si>
    <t>How to move the chart</t>
  </si>
  <si>
    <t>- Activate the zoom/move tool
- Define the movement speed (use the scroll bar or type a number between 1 and 99 - the higher the number the higher the movement speed)
- Click on one of the movement buttons (Up/down/left/right)</t>
  </si>
  <si>
    <t>How to zoom the chart</t>
  </si>
  <si>
    <t>- Activate the zoom/move tool
- Define the zoom speed (use the scroll bar or type a number between 1 and 99 - the higher the number the higher the zoom speed)
- Click on one of the zoom buttons (In/out)</t>
  </si>
  <si>
    <t>How to restore the original zoom and position of the chart</t>
  </si>
  <si>
    <t>- Activate the zoom/move tool
- Click on "Reset view"</t>
  </si>
  <si>
    <t>1.0   -   01/09/2017</t>
  </si>
  <si>
    <t xml:space="preserve">      - Possible to add multiple scattered plots</t>
  </si>
  <si>
    <t>EnginExce1</t>
  </si>
  <si>
    <t xml:space="preserve">      - Allows to scroll up/down/left/right</t>
  </si>
  <si>
    <t>Title</t>
  </si>
  <si>
    <t>- Click on the chart area (the white area around the chart)
- Click on the button "Zoom and scroll chart"</t>
  </si>
  <si>
    <t>1.1   -   08/09/2017</t>
  </si>
  <si>
    <t>Minor bug fix</t>
  </si>
  <si>
    <t>1.2   -   09/04/2018</t>
  </si>
  <si>
    <t>Welcome page added</t>
  </si>
  <si>
    <t>COUNTERS</t>
  </si>
  <si>
    <t>OpenedTimes</t>
  </si>
  <si>
    <t>NotShowAgain</t>
  </si>
  <si>
    <t>MESSAGES RELATED TO SPREADSHEET</t>
  </si>
  <si>
    <t>SpreadsheetName</t>
  </si>
  <si>
    <t>VideoLink</t>
  </si>
  <si>
    <t>MESSAGES VALID FOR ALL SPREADSHEETS</t>
  </si>
  <si>
    <t>WelcomeText</t>
  </si>
  <si>
    <t>Thanks for downloading EnginExcel free material.</t>
  </si>
  <si>
    <t>ButtonText</t>
  </si>
  <si>
    <t>Introductory video</t>
  </si>
  <si>
    <t>FreeMaterialText</t>
  </si>
  <si>
    <t>If you like this spreadsheet please consider subscribing to EnginExcel free material newsletter. You will receive an email when a new free spreadsheet is released.</t>
  </si>
  <si>
    <t>ButtonText2</t>
  </si>
  <si>
    <t>Open subscription page</t>
  </si>
  <si>
    <t>FreeMaterialLink</t>
  </si>
  <si>
    <t>http://enginexcel.com/newsletter</t>
  </si>
  <si>
    <t>ReminderText1</t>
  </si>
  <si>
    <t>If you are enjoying this spreadsheet please consider subscribing to EnginExcel newsletter. You will receive an email when a new free spreadsheet is released.</t>
  </si>
  <si>
    <t>ReminderText2</t>
  </si>
  <si>
    <t>EnginExcel provides consultancy to develop customised spreadsheets for Mechanical Engineers and Project Managers using Microsoft Excel and Visual Basic for Applications (VBA).</t>
  </si>
  <si>
    <t>ButtonText3</t>
  </si>
  <si>
    <t>See how I can help you</t>
  </si>
  <si>
    <t>ServicesLink</t>
  </si>
  <si>
    <t>http://enginexcel.com/what-i-do</t>
  </si>
  <si>
    <t>Zoom chart</t>
  </si>
  <si>
    <t>https://youtu.be/wYb8wJbfhX4</t>
  </si>
  <si>
    <t>Added internet connection verification</t>
  </si>
  <si>
    <t>1.3   -   21/04/2018</t>
  </si>
  <si>
    <t>1.4   -   28/05/2018</t>
  </si>
  <si>
    <t>Added Excel 365 compatibility
Added Windows 10 x64 compatibility</t>
  </si>
</sst>
</file>

<file path=xl/styles.xml><?xml version="1.0" encoding="utf-8"?>
<styleSheet xmlns="http://schemas.openxmlformats.org/spreadsheetml/2006/main">
  <fonts count="13">
    <font>
      <sz val="11"/>
      <color theme="1"/>
      <name val="Calibri"/>
      <family val="2"/>
      <scheme val="minor"/>
    </font>
    <font>
      <b/>
      <sz val="11"/>
      <color theme="1"/>
      <name val="Calibri"/>
      <family val="2"/>
      <scheme val="minor"/>
    </font>
    <font>
      <b/>
      <sz val="11"/>
      <color theme="0"/>
      <name val="Calibri"/>
      <family val="2"/>
      <scheme val="minor"/>
    </font>
    <font>
      <sz val="11"/>
      <name val="Calibri"/>
      <family val="2"/>
      <scheme val="minor"/>
    </font>
    <font>
      <b/>
      <sz val="11"/>
      <name val="Calibri"/>
      <family val="2"/>
      <scheme val="minor"/>
    </font>
    <font>
      <u/>
      <sz val="11"/>
      <color theme="1"/>
      <name val="Calibri"/>
      <family val="2"/>
      <scheme val="minor"/>
    </font>
    <font>
      <b/>
      <sz val="13"/>
      <color theme="1"/>
      <name val="Calibri"/>
      <family val="2"/>
      <scheme val="minor"/>
    </font>
    <font>
      <sz val="11"/>
      <color theme="0"/>
      <name val="Calibri"/>
      <family val="2"/>
      <scheme val="minor"/>
    </font>
    <font>
      <i/>
      <sz val="11"/>
      <color theme="0"/>
      <name val="Calibri"/>
      <family val="2"/>
      <scheme val="minor"/>
    </font>
    <font>
      <b/>
      <sz val="14"/>
      <color theme="1"/>
      <name val="Calibri"/>
      <family val="2"/>
      <scheme val="minor"/>
    </font>
    <font>
      <sz val="11"/>
      <color rgb="FF000000"/>
      <name val="Calibri"/>
      <family val="2"/>
      <scheme val="minor"/>
    </font>
    <font>
      <sz val="11"/>
      <color rgb="FF00BA60"/>
      <name val="Calibri"/>
      <family val="2"/>
      <scheme val="minor"/>
    </font>
    <font>
      <b/>
      <sz val="11"/>
      <color rgb="FFFFFF00"/>
      <name val="Calibri"/>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1" tint="0.249977111117893"/>
        <bgColor indexed="64"/>
      </patternFill>
    </fill>
    <fill>
      <patternFill patternType="solid">
        <fgColor theme="6" tint="-0.249977111117893"/>
        <bgColor indexed="64"/>
      </patternFill>
    </fill>
    <fill>
      <patternFill patternType="solid">
        <fgColor rgb="FFCFF1E1"/>
        <bgColor indexed="64"/>
      </patternFill>
    </fill>
    <fill>
      <patternFill patternType="solid">
        <fgColor rgb="FF97E1BE"/>
        <bgColor indexed="64"/>
      </patternFill>
    </fill>
    <fill>
      <patternFill patternType="solid">
        <fgColor rgb="FF00BA60"/>
        <bgColor indexed="64"/>
      </patternFill>
    </fill>
    <fill>
      <patternFill patternType="solid">
        <fgColor rgb="FF00944D"/>
        <bgColor indexed="64"/>
      </patternFill>
    </fill>
    <fill>
      <patternFill patternType="solid">
        <fgColor rgb="FF02723C"/>
        <bgColor indexed="64"/>
      </patternFill>
    </fill>
    <fill>
      <patternFill patternType="solid">
        <fgColor rgb="FF19392A"/>
        <bgColor indexed="64"/>
      </patternFill>
    </fill>
    <fill>
      <patternFill patternType="solid">
        <fgColor theme="1"/>
        <bgColor indexed="64"/>
      </patternFill>
    </fill>
  </fills>
  <borders count="18">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ck">
        <color auto="1"/>
      </top>
      <bottom style="thick">
        <color auto="1"/>
      </bottom>
      <diagonal/>
    </border>
    <border>
      <left/>
      <right/>
      <top style="thick">
        <color auto="1"/>
      </top>
      <bottom style="thin">
        <color auto="1"/>
      </bottom>
      <diagonal/>
    </border>
    <border>
      <left/>
      <right/>
      <top style="thin">
        <color auto="1"/>
      </top>
      <bottom/>
      <diagonal/>
    </border>
    <border>
      <left style="thin">
        <color auto="1"/>
      </left>
      <right/>
      <top style="thin">
        <color auto="1"/>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s>
  <cellStyleXfs count="1">
    <xf numFmtId="0" fontId="0" fillId="0" borderId="0"/>
  </cellStyleXfs>
  <cellXfs count="113">
    <xf numFmtId="0" fontId="0" fillId="0" borderId="0" xfId="0"/>
    <xf numFmtId="0" fontId="0" fillId="0" borderId="0" xfId="0" applyFill="1" applyBorder="1" applyProtection="1">
      <protection hidden="1"/>
    </xf>
    <xf numFmtId="0" fontId="1" fillId="0" borderId="0" xfId="0" applyFont="1" applyFill="1" applyBorder="1" applyAlignment="1" applyProtection="1">
      <alignment horizontal="center"/>
      <protection hidden="1"/>
    </xf>
    <xf numFmtId="0" fontId="0" fillId="2" borderId="0" xfId="0" applyFill="1" applyBorder="1" applyProtection="1">
      <protection hidden="1"/>
    </xf>
    <xf numFmtId="0" fontId="1" fillId="0" borderId="0" xfId="0" applyFont="1" applyBorder="1" applyAlignment="1" applyProtection="1">
      <alignment horizontal="center" vertical="center"/>
      <protection hidden="1"/>
    </xf>
    <xf numFmtId="0" fontId="0" fillId="0" borderId="0" xfId="0" applyBorder="1" applyAlignment="1" applyProtection="1">
      <alignment horizontal="left"/>
      <protection hidden="1"/>
    </xf>
    <xf numFmtId="0" fontId="1" fillId="2" borderId="0" xfId="0" applyFont="1" applyFill="1" applyBorder="1" applyAlignment="1" applyProtection="1">
      <alignment horizontal="center"/>
      <protection hidden="1"/>
    </xf>
    <xf numFmtId="0" fontId="0" fillId="0" borderId="0" xfId="0" applyBorder="1" applyAlignment="1" applyProtection="1">
      <alignment horizontal="left"/>
      <protection locked="0"/>
    </xf>
    <xf numFmtId="0" fontId="1" fillId="0" borderId="1" xfId="0" applyFont="1" applyFill="1" applyBorder="1" applyProtection="1">
      <protection hidden="1"/>
    </xf>
    <xf numFmtId="0" fontId="1" fillId="0" borderId="1" xfId="0" applyFont="1" applyFill="1" applyBorder="1" applyProtection="1">
      <protection locked="0"/>
    </xf>
    <xf numFmtId="0" fontId="2" fillId="3" borderId="1" xfId="0" applyFont="1" applyFill="1" applyBorder="1" applyProtection="1">
      <protection hidden="1"/>
    </xf>
    <xf numFmtId="0" fontId="2" fillId="3" borderId="2" xfId="0" applyFont="1" applyFill="1" applyBorder="1" applyAlignment="1" applyProtection="1">
      <alignment horizontal="center"/>
      <protection hidden="1"/>
    </xf>
    <xf numFmtId="0" fontId="0" fillId="0" borderId="2" xfId="0" applyFill="1" applyBorder="1" applyAlignment="1" applyProtection="1">
      <alignment horizontal="center"/>
      <protection hidden="1"/>
    </xf>
    <xf numFmtId="0" fontId="0" fillId="0" borderId="2" xfId="0" applyFill="1" applyBorder="1" applyAlignment="1" applyProtection="1">
      <alignment horizontal="center"/>
      <protection locked="0"/>
    </xf>
    <xf numFmtId="0" fontId="0" fillId="0" borderId="0" xfId="0" applyFill="1" applyBorder="1" applyAlignment="1" applyProtection="1">
      <alignment horizontal="center"/>
      <protection hidden="1"/>
    </xf>
    <xf numFmtId="0" fontId="2" fillId="3" borderId="3" xfId="0" applyFont="1" applyFill="1" applyBorder="1" applyAlignment="1" applyProtection="1">
      <alignment horizontal="center" vertical="center"/>
      <protection hidden="1"/>
    </xf>
    <xf numFmtId="49" fontId="0" fillId="0" borderId="3" xfId="0" applyNumberFormat="1" applyBorder="1" applyAlignment="1" applyProtection="1">
      <alignment horizontal="center" vertical="center"/>
      <protection locked="0"/>
    </xf>
    <xf numFmtId="0" fontId="0" fillId="0" borderId="3"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49" fontId="0" fillId="0" borderId="3" xfId="0" applyNumberFormat="1" applyFont="1" applyFill="1" applyBorder="1" applyAlignment="1" applyProtection="1">
      <alignment horizontal="center" vertical="center"/>
      <protection locked="0"/>
    </xf>
    <xf numFmtId="0" fontId="1" fillId="0" borderId="1" xfId="0" applyFont="1" applyBorder="1"/>
    <xf numFmtId="0" fontId="0" fillId="3" borderId="1" xfId="0" applyFill="1" applyBorder="1" applyProtection="1">
      <protection locked="0"/>
    </xf>
    <xf numFmtId="0" fontId="2" fillId="3" borderId="4" xfId="0" applyFont="1" applyFill="1" applyBorder="1" applyAlignment="1" applyProtection="1">
      <alignment horizontal="center" vertical="center"/>
      <protection hidden="1"/>
    </xf>
    <xf numFmtId="0" fontId="0" fillId="3" borderId="2" xfId="0" applyFill="1" applyBorder="1" applyAlignment="1" applyProtection="1">
      <alignment horizontal="center" vertical="center"/>
      <protection locked="0"/>
    </xf>
    <xf numFmtId="0" fontId="1" fillId="4" borderId="5" xfId="0" applyFont="1" applyFill="1" applyBorder="1" applyAlignment="1" applyProtection="1">
      <alignment horizontal="left" vertical="center"/>
      <protection locked="0"/>
    </xf>
    <xf numFmtId="0" fontId="0" fillId="4" borderId="0" xfId="0"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49" fontId="0" fillId="4" borderId="5" xfId="0" applyNumberFormat="1" applyFill="1" applyBorder="1" applyAlignment="1" applyProtection="1">
      <alignment horizontal="left" vertical="center"/>
      <protection locked="0"/>
    </xf>
    <xf numFmtId="49" fontId="1" fillId="4" borderId="5" xfId="0" applyNumberFormat="1" applyFont="1" applyFill="1" applyBorder="1" applyAlignment="1" applyProtection="1">
      <alignment horizontal="left" vertical="center"/>
      <protection locked="0"/>
    </xf>
    <xf numFmtId="0" fontId="0" fillId="4" borderId="5"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0" fontId="1" fillId="0" borderId="1" xfId="0" applyFont="1" applyBorder="1" applyProtection="1">
      <protection hidden="1"/>
    </xf>
    <xf numFmtId="0" fontId="2" fillId="3" borderId="4" xfId="0" applyFont="1" applyFill="1" applyBorder="1" applyAlignment="1" applyProtection="1">
      <alignment horizontal="center"/>
      <protection hidden="1"/>
    </xf>
    <xf numFmtId="0" fontId="0" fillId="0" borderId="4" xfId="0" applyFill="1" applyBorder="1" applyAlignment="1" applyProtection="1">
      <alignment horizontal="center"/>
      <protection hidden="1"/>
    </xf>
    <xf numFmtId="0" fontId="0" fillId="0" borderId="0" xfId="0" applyFont="1" applyFill="1" applyBorder="1" applyProtection="1">
      <protection hidden="1"/>
    </xf>
    <xf numFmtId="0" fontId="0" fillId="2" borderId="0" xfId="0" applyFont="1" applyFill="1" applyBorder="1" applyProtection="1">
      <protection hidden="1"/>
    </xf>
    <xf numFmtId="0" fontId="3" fillId="0" borderId="0" xfId="0" applyFont="1" applyAlignment="1" applyProtection="1">
      <alignment horizontal="justify" wrapText="1"/>
      <protection hidden="1"/>
    </xf>
    <xf numFmtId="0" fontId="3" fillId="0" borderId="0" xfId="0" applyFont="1" applyAlignment="1" applyProtection="1">
      <alignment horizontal="justify" vertical="top" wrapText="1"/>
      <protection hidden="1"/>
    </xf>
    <xf numFmtId="0" fontId="0" fillId="0" borderId="0" xfId="0" applyFont="1" applyProtection="1">
      <protection hidden="1"/>
    </xf>
    <xf numFmtId="49" fontId="0" fillId="0" borderId="0" xfId="0" applyNumberFormat="1" applyFont="1" applyFill="1" applyBorder="1" applyProtection="1">
      <protection hidden="1"/>
    </xf>
    <xf numFmtId="0" fontId="1" fillId="0" borderId="0" xfId="0" applyFont="1" applyFill="1" applyBorder="1" applyAlignment="1" applyProtection="1">
      <alignment horizontal="center"/>
      <protection hidden="1"/>
    </xf>
    <xf numFmtId="49" fontId="0" fillId="2" borderId="0" xfId="0" applyNumberFormat="1" applyFont="1" applyFill="1" applyBorder="1" applyProtection="1">
      <protection hidden="1"/>
    </xf>
    <xf numFmtId="49" fontId="3" fillId="0" borderId="0" xfId="0" applyNumberFormat="1" applyFont="1" applyAlignment="1" applyProtection="1">
      <alignment horizontal="justify" wrapText="1"/>
      <protection hidden="1"/>
    </xf>
    <xf numFmtId="49" fontId="0" fillId="0" borderId="0" xfId="0" applyNumberFormat="1" applyFont="1" applyProtection="1">
      <protection hidden="1"/>
    </xf>
    <xf numFmtId="49" fontId="3" fillId="0" borderId="0" xfId="0" applyNumberFormat="1" applyFont="1" applyAlignment="1" applyProtection="1">
      <alignment horizontal="justify" vertical="top" wrapText="1"/>
      <protection hidden="1"/>
    </xf>
    <xf numFmtId="49" fontId="0" fillId="2" borderId="0" xfId="0" applyNumberFormat="1" applyFont="1" applyFill="1" applyBorder="1" applyAlignment="1" applyProtection="1">
      <alignment wrapText="1"/>
      <protection hidden="1"/>
    </xf>
    <xf numFmtId="49" fontId="0" fillId="0" borderId="0" xfId="0" applyNumberFormat="1" applyFont="1" applyFill="1" applyBorder="1" applyAlignment="1" applyProtection="1">
      <alignment wrapText="1"/>
      <protection hidden="1"/>
    </xf>
    <xf numFmtId="49" fontId="0" fillId="0" borderId="4" xfId="0" applyNumberFormat="1" applyFill="1" applyBorder="1" applyAlignment="1" applyProtection="1">
      <alignment vertical="center" wrapText="1"/>
      <protection hidden="1"/>
    </xf>
    <xf numFmtId="49" fontId="3" fillId="0" borderId="0" xfId="0" applyNumberFormat="1" applyFont="1" applyAlignment="1" applyProtection="1">
      <alignment wrapText="1"/>
      <protection hidden="1"/>
    </xf>
    <xf numFmtId="49" fontId="0" fillId="0" borderId="0" xfId="0" applyNumberFormat="1" applyFont="1" applyFill="1" applyBorder="1" applyAlignment="1" applyProtection="1">
      <protection hidden="1"/>
    </xf>
    <xf numFmtId="49" fontId="0" fillId="0" borderId="0" xfId="0" applyNumberFormat="1" applyFill="1" applyBorder="1" applyAlignment="1" applyProtection="1">
      <protection hidden="1"/>
    </xf>
    <xf numFmtId="49" fontId="6" fillId="0" borderId="0" xfId="0" applyNumberFormat="1" applyFont="1" applyFill="1" applyBorder="1" applyAlignment="1" applyProtection="1">
      <alignment wrapText="1"/>
      <protection hidden="1"/>
    </xf>
    <xf numFmtId="49" fontId="0" fillId="0" borderId="11" xfId="0" applyNumberFormat="1" applyFill="1" applyBorder="1" applyAlignment="1" applyProtection="1">
      <alignment vertical="center" wrapText="1"/>
      <protection hidden="1"/>
    </xf>
    <xf numFmtId="49" fontId="0" fillId="0" borderId="4" xfId="0" applyNumberFormat="1" applyBorder="1" applyAlignment="1" applyProtection="1">
      <alignment vertical="center" wrapText="1"/>
      <protection hidden="1"/>
    </xf>
    <xf numFmtId="0" fontId="3" fillId="0" borderId="0" xfId="0" applyNumberFormat="1" applyFont="1" applyAlignment="1" applyProtection="1">
      <alignment horizontal="justify" vertical="top" wrapText="1"/>
      <protection hidden="1"/>
    </xf>
    <xf numFmtId="49" fontId="0" fillId="2" borderId="0" xfId="0" applyNumberFormat="1" applyFill="1" applyBorder="1" applyProtection="1">
      <protection hidden="1"/>
    </xf>
    <xf numFmtId="49" fontId="0" fillId="0" borderId="0" xfId="0" applyNumberFormat="1" applyFont="1" applyBorder="1" applyProtection="1">
      <protection hidden="1"/>
    </xf>
    <xf numFmtId="49" fontId="3" fillId="0" borderId="0" xfId="0" applyNumberFormat="1" applyFont="1" applyBorder="1" applyAlignment="1" applyProtection="1">
      <alignment vertical="center"/>
      <protection hidden="1"/>
    </xf>
    <xf numFmtId="49" fontId="3" fillId="0" borderId="0" xfId="0" applyNumberFormat="1" applyFont="1" applyAlignment="1" applyProtection="1">
      <protection hidden="1"/>
    </xf>
    <xf numFmtId="49" fontId="0" fillId="0" borderId="0" xfId="0" applyNumberFormat="1" applyFont="1" applyBorder="1" applyAlignment="1" applyProtection="1">
      <protection hidden="1"/>
    </xf>
    <xf numFmtId="0" fontId="0" fillId="0" borderId="0" xfId="0" applyFont="1" applyBorder="1" applyProtection="1">
      <protection hidden="1"/>
    </xf>
    <xf numFmtId="49" fontId="0" fillId="0" borderId="0" xfId="0" applyNumberFormat="1" applyFont="1" applyBorder="1" applyAlignment="1" applyProtection="1">
      <alignment wrapText="1"/>
      <protection hidden="1"/>
    </xf>
    <xf numFmtId="49" fontId="1" fillId="0" borderId="10" xfId="0" applyNumberFormat="1" applyFont="1" applyBorder="1" applyAlignment="1" applyProtection="1">
      <alignment horizontal="center" wrapText="1"/>
      <protection hidden="1"/>
    </xf>
    <xf numFmtId="49" fontId="0" fillId="0" borderId="11" xfId="0" applyNumberFormat="1" applyBorder="1" applyAlignment="1" applyProtection="1">
      <alignment vertical="center" wrapText="1"/>
      <protection hidden="1"/>
    </xf>
    <xf numFmtId="49" fontId="3" fillId="0" borderId="0" xfId="0" quotePrefix="1" applyNumberFormat="1" applyFont="1" applyAlignment="1" applyProtection="1">
      <alignment wrapText="1"/>
      <protection hidden="1"/>
    </xf>
    <xf numFmtId="49" fontId="0" fillId="0" borderId="0" xfId="0" applyNumberFormat="1" applyFont="1" applyAlignment="1" applyProtection="1">
      <alignment wrapText="1"/>
      <protection hidden="1"/>
    </xf>
    <xf numFmtId="49" fontId="4" fillId="0" borderId="0" xfId="0" applyNumberFormat="1" applyFont="1" applyAlignment="1" applyProtection="1">
      <alignment vertical="center" wrapText="1"/>
      <protection hidden="1"/>
    </xf>
    <xf numFmtId="0" fontId="1" fillId="0" borderId="0" xfId="0" applyFont="1" applyBorder="1" applyAlignment="1" applyProtection="1">
      <alignment horizontal="center" vertical="center"/>
      <protection locked="0"/>
    </xf>
    <xf numFmtId="0" fontId="1" fillId="0" borderId="0" xfId="0" applyFont="1" applyFill="1" applyBorder="1" applyAlignment="1" applyProtection="1">
      <alignment horizontal="center"/>
      <protection hidden="1"/>
    </xf>
    <xf numFmtId="0" fontId="0" fillId="0" borderId="0" xfId="0" applyFill="1" applyBorder="1" applyProtection="1">
      <protection locked="0"/>
    </xf>
    <xf numFmtId="0" fontId="0" fillId="0" borderId="4" xfId="0" applyFill="1" applyBorder="1" applyProtection="1">
      <protection hidden="1"/>
    </xf>
    <xf numFmtId="0" fontId="0" fillId="0" borderId="12" xfId="0" applyFill="1" applyBorder="1" applyProtection="1">
      <protection hidden="1"/>
    </xf>
    <xf numFmtId="0" fontId="0" fillId="0" borderId="5" xfId="0" applyBorder="1" applyAlignment="1" applyProtection="1">
      <alignment horizontal="left"/>
      <protection hidden="1"/>
    </xf>
    <xf numFmtId="0" fontId="0" fillId="0" borderId="13" xfId="0"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0" fontId="0" fillId="0" borderId="8" xfId="0"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0" fillId="0" borderId="5" xfId="0" applyFill="1" applyBorder="1" applyProtection="1">
      <protection hidden="1"/>
    </xf>
    <xf numFmtId="0" fontId="1" fillId="4" borderId="0" xfId="0" applyFont="1" applyFill="1" applyBorder="1" applyAlignment="1" applyProtection="1">
      <alignment horizontal="center" vertical="center"/>
      <protection locked="0"/>
    </xf>
    <xf numFmtId="0" fontId="1" fillId="4" borderId="6"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14" fontId="0" fillId="4" borderId="0" xfId="0" applyNumberFormat="1" applyFill="1" applyBorder="1" applyAlignment="1" applyProtection="1">
      <alignment horizontal="center" vertical="center"/>
      <protection locked="0"/>
    </xf>
    <xf numFmtId="49" fontId="0" fillId="4" borderId="5" xfId="0" applyNumberFormat="1" applyFill="1" applyBorder="1" applyAlignment="1" applyProtection="1">
      <alignment horizontal="center" vertical="center"/>
      <protection locked="0"/>
    </xf>
    <xf numFmtId="0" fontId="0" fillId="4" borderId="6" xfId="0" applyFill="1" applyBorder="1" applyAlignment="1" applyProtection="1">
      <alignment horizontal="center" vertical="center" wrapText="1"/>
      <protection locked="0"/>
    </xf>
    <xf numFmtId="0" fontId="0" fillId="5" borderId="0" xfId="0" applyFill="1" applyBorder="1" applyProtection="1">
      <protection hidden="1"/>
    </xf>
    <xf numFmtId="0" fontId="2" fillId="5" borderId="0" xfId="0" applyFont="1" applyFill="1" applyBorder="1" applyAlignment="1" applyProtection="1">
      <alignment horizontal="right"/>
      <protection hidden="1"/>
    </xf>
    <xf numFmtId="0" fontId="0" fillId="6" borderId="0" xfId="0" applyFill="1" applyBorder="1" applyProtection="1">
      <protection hidden="1"/>
    </xf>
    <xf numFmtId="0" fontId="0" fillId="2" borderId="0" xfId="0" applyFill="1" applyBorder="1" applyAlignment="1" applyProtection="1">
      <alignment horizontal="center"/>
      <protection hidden="1"/>
    </xf>
    <xf numFmtId="0" fontId="0" fillId="0" borderId="0" xfId="0" applyFont="1" applyFill="1" applyBorder="1" applyAlignment="1" applyProtection="1">
      <alignment horizontal="center"/>
      <protection hidden="1"/>
    </xf>
    <xf numFmtId="0" fontId="0" fillId="2" borderId="0" xfId="0" applyFill="1" applyBorder="1" applyAlignment="1" applyProtection="1">
      <alignment horizontal="left"/>
      <protection hidden="1"/>
    </xf>
    <xf numFmtId="0" fontId="0" fillId="5" borderId="0" xfId="0" applyFill="1" applyBorder="1" applyAlignment="1" applyProtection="1">
      <alignment horizontal="left"/>
      <protection hidden="1"/>
    </xf>
    <xf numFmtId="0" fontId="0" fillId="0" borderId="0" xfId="0" applyFill="1" applyBorder="1" applyAlignment="1" applyProtection="1">
      <alignment horizontal="left"/>
      <protection hidden="1"/>
    </xf>
    <xf numFmtId="0" fontId="1" fillId="7" borderId="0" xfId="0" applyFont="1" applyFill="1" applyBorder="1" applyAlignment="1" applyProtection="1">
      <alignment horizontal="center"/>
      <protection hidden="1"/>
    </xf>
    <xf numFmtId="0" fontId="11" fillId="8" borderId="0" xfId="0" applyFont="1" applyFill="1" applyBorder="1" applyAlignment="1" applyProtection="1">
      <alignment horizontal="center"/>
      <protection hidden="1"/>
    </xf>
    <xf numFmtId="0" fontId="11" fillId="9" borderId="0" xfId="0" applyFont="1" applyFill="1" applyBorder="1" applyProtection="1">
      <protection hidden="1"/>
    </xf>
    <xf numFmtId="0" fontId="0" fillId="10" borderId="0" xfId="0" applyFill="1" applyBorder="1" applyProtection="1">
      <protection hidden="1"/>
    </xf>
    <xf numFmtId="0" fontId="0" fillId="11" borderId="0" xfId="0" applyFill="1" applyBorder="1" applyProtection="1">
      <protection hidden="1"/>
    </xf>
    <xf numFmtId="0" fontId="0" fillId="12" borderId="0" xfId="0" applyFill="1" applyBorder="1" applyProtection="1">
      <protection hidden="1"/>
    </xf>
    <xf numFmtId="0" fontId="2" fillId="9" borderId="14" xfId="0" applyFont="1" applyFill="1" applyBorder="1" applyAlignment="1" applyProtection="1">
      <alignment horizontal="center"/>
      <protection hidden="1"/>
    </xf>
    <xf numFmtId="0" fontId="2" fillId="9" borderId="15" xfId="0" applyFont="1" applyFill="1" applyBorder="1" applyAlignment="1" applyProtection="1">
      <alignment horizontal="center"/>
      <protection hidden="1"/>
    </xf>
    <xf numFmtId="0" fontId="12" fillId="9" borderId="16" xfId="0" applyFont="1" applyFill="1" applyBorder="1" applyAlignment="1" applyProtection="1">
      <alignment horizontal="center"/>
      <protection hidden="1"/>
    </xf>
    <xf numFmtId="0" fontId="2" fillId="11" borderId="15" xfId="0" applyFont="1" applyFill="1" applyBorder="1" applyAlignment="1" applyProtection="1">
      <alignment horizontal="center" vertical="center"/>
      <protection hidden="1"/>
    </xf>
    <xf numFmtId="0" fontId="12" fillId="11" borderId="17" xfId="0" applyFont="1" applyFill="1" applyBorder="1" applyAlignment="1" applyProtection="1">
      <alignment horizontal="center" vertical="center"/>
      <protection hidden="1"/>
    </xf>
    <xf numFmtId="0" fontId="0" fillId="0" borderId="3" xfId="0" applyFont="1" applyFill="1" applyBorder="1" applyAlignment="1" applyProtection="1">
      <alignment horizontal="left" vertical="center"/>
      <protection locked="0"/>
    </xf>
    <xf numFmtId="0" fontId="0" fillId="0" borderId="3" xfId="0" applyFill="1" applyBorder="1" applyAlignment="1" applyProtection="1">
      <alignment horizontal="left" vertical="center"/>
      <protection locked="0"/>
    </xf>
    <xf numFmtId="0" fontId="0" fillId="0" borderId="3" xfId="0" applyFill="1" applyBorder="1" applyAlignment="1" applyProtection="1">
      <alignment horizontal="left" vertical="center"/>
    </xf>
    <xf numFmtId="49" fontId="3" fillId="0" borderId="0" xfId="0" applyNumberFormat="1" applyFont="1" applyAlignment="1" applyProtection="1">
      <alignment vertical="top" wrapText="1"/>
      <protection hidden="1"/>
    </xf>
    <xf numFmtId="0" fontId="3" fillId="0" borderId="0" xfId="0" applyNumberFormat="1" applyFont="1" applyAlignment="1" applyProtection="1">
      <alignment horizontal="left" vertical="top" wrapText="1"/>
      <protection hidden="1"/>
    </xf>
    <xf numFmtId="49" fontId="9" fillId="0" borderId="10" xfId="0" applyNumberFormat="1" applyFont="1" applyBorder="1" applyAlignment="1" applyProtection="1">
      <alignment horizontal="center" wrapText="1"/>
      <protection hidden="1"/>
    </xf>
    <xf numFmtId="49" fontId="3" fillId="0" borderId="0" xfId="0" applyNumberFormat="1" applyFont="1" applyAlignment="1" applyProtection="1">
      <alignment horizontal="left" vertical="top" wrapText="1"/>
      <protection hidden="1"/>
    </xf>
    <xf numFmtId="0" fontId="2" fillId="13" borderId="0" xfId="0" applyFont="1" applyFill="1" applyBorder="1" applyAlignment="1" applyProtection="1">
      <alignment horizontal="center"/>
      <protection hidden="1"/>
    </xf>
  </cellXfs>
  <cellStyles count="1">
    <cellStyle name="Normale" xfId="0" builtinId="0"/>
  </cellStyles>
  <dxfs count="2">
    <dxf>
      <fill>
        <patternFill>
          <bgColor rgb="FF97E1BE"/>
        </patternFill>
      </fill>
      <border>
        <left style="thin">
          <color theme="0"/>
        </left>
        <right style="thin">
          <color theme="0"/>
        </right>
        <top style="thin">
          <color theme="0"/>
        </top>
        <bottom style="thin">
          <color theme="0"/>
        </bottom>
      </border>
    </dxf>
    <dxf>
      <fill>
        <patternFill>
          <bgColor rgb="FF97E1BE"/>
        </patternFill>
      </fill>
      <border>
        <left style="thin">
          <color theme="0"/>
        </left>
        <right style="thin">
          <color theme="0"/>
        </right>
        <top style="thin">
          <color theme="0"/>
        </top>
        <bottom style="thin">
          <color theme="0"/>
        </bottom>
      </border>
    </dxf>
  </dxfs>
  <tableStyles count="0" defaultTableStyle="TableStyleMedium9" defaultPivotStyle="PivotStyleLight16"/>
  <colors>
    <mruColors>
      <color rgb="FF00BA60"/>
      <color rgb="FF97E1BE"/>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strRef>
          <c:f>Data!$F$6</c:f>
          <c:strCache>
            <c:ptCount val="1"/>
            <c:pt idx="0">
              <c:v>Title</c:v>
            </c:pt>
          </c:strCache>
        </c:strRef>
      </c:tx>
    </c:title>
    <c:plotArea>
      <c:layout>
        <c:manualLayout>
          <c:layoutTarget val="inner"/>
          <c:xMode val="edge"/>
          <c:yMode val="edge"/>
          <c:x val="9.6765299774790745E-2"/>
          <c:y val="0.14534562713339591"/>
          <c:w val="0.87179824955341656"/>
          <c:h val="0.7258531543660669"/>
        </c:manualLayout>
      </c:layout>
      <c:scatterChart>
        <c:scatterStyle val="smoothMarker"/>
        <c:ser>
          <c:idx val="0"/>
          <c:order val="0"/>
          <c:tx>
            <c:strRef>
              <c:f>Data!$F$10</c:f>
              <c:strCache>
                <c:ptCount val="1"/>
                <c:pt idx="0">
                  <c:v>Series 1</c:v>
                </c:pt>
              </c:strCache>
            </c:strRef>
          </c:tx>
          <c:marker>
            <c:symbol val="none"/>
          </c:marker>
          <c:xVal>
            <c:numRef>
              <c:f>Data!$E$12:$E$212</c:f>
              <c:numCache>
                <c:formatCode>General</c:formatCode>
                <c:ptCount val="201"/>
                <c:pt idx="0">
                  <c:v>0</c:v>
                </c:pt>
                <c:pt idx="1">
                  <c:v>0.9</c:v>
                </c:pt>
                <c:pt idx="2">
                  <c:v>1.8</c:v>
                </c:pt>
                <c:pt idx="3">
                  <c:v>2.7</c:v>
                </c:pt>
                <c:pt idx="4">
                  <c:v>3.6</c:v>
                </c:pt>
                <c:pt idx="5">
                  <c:v>4.5</c:v>
                </c:pt>
                <c:pt idx="6">
                  <c:v>5.4</c:v>
                </c:pt>
                <c:pt idx="7">
                  <c:v>6.3</c:v>
                </c:pt>
                <c:pt idx="8">
                  <c:v>7.2</c:v>
                </c:pt>
                <c:pt idx="9">
                  <c:v>8.1</c:v>
                </c:pt>
                <c:pt idx="10">
                  <c:v>9</c:v>
                </c:pt>
                <c:pt idx="11">
                  <c:v>9.9</c:v>
                </c:pt>
                <c:pt idx="12">
                  <c:v>10.8</c:v>
                </c:pt>
                <c:pt idx="13">
                  <c:v>11.7</c:v>
                </c:pt>
                <c:pt idx="14">
                  <c:v>12.6</c:v>
                </c:pt>
                <c:pt idx="15">
                  <c:v>13.5</c:v>
                </c:pt>
                <c:pt idx="16">
                  <c:v>14.4</c:v>
                </c:pt>
                <c:pt idx="17">
                  <c:v>15.3</c:v>
                </c:pt>
                <c:pt idx="18">
                  <c:v>16.2</c:v>
                </c:pt>
                <c:pt idx="19">
                  <c:v>17.100000000000001</c:v>
                </c:pt>
                <c:pt idx="20">
                  <c:v>18</c:v>
                </c:pt>
                <c:pt idx="21">
                  <c:v>18.899999999999999</c:v>
                </c:pt>
                <c:pt idx="22">
                  <c:v>19.8</c:v>
                </c:pt>
                <c:pt idx="23">
                  <c:v>20.7</c:v>
                </c:pt>
                <c:pt idx="24">
                  <c:v>21.6</c:v>
                </c:pt>
                <c:pt idx="25">
                  <c:v>22.5</c:v>
                </c:pt>
                <c:pt idx="26">
                  <c:v>23.4</c:v>
                </c:pt>
                <c:pt idx="27">
                  <c:v>24.3</c:v>
                </c:pt>
                <c:pt idx="28">
                  <c:v>25.2</c:v>
                </c:pt>
                <c:pt idx="29">
                  <c:v>26.1</c:v>
                </c:pt>
                <c:pt idx="30">
                  <c:v>27</c:v>
                </c:pt>
                <c:pt idx="31">
                  <c:v>27.9</c:v>
                </c:pt>
                <c:pt idx="32">
                  <c:v>28.8</c:v>
                </c:pt>
                <c:pt idx="33">
                  <c:v>29.7</c:v>
                </c:pt>
                <c:pt idx="34">
                  <c:v>30.6</c:v>
                </c:pt>
                <c:pt idx="35">
                  <c:v>31.5</c:v>
                </c:pt>
                <c:pt idx="36">
                  <c:v>32.4</c:v>
                </c:pt>
                <c:pt idx="37">
                  <c:v>33.299999999999997</c:v>
                </c:pt>
                <c:pt idx="38">
                  <c:v>34.200000000000003</c:v>
                </c:pt>
                <c:pt idx="39">
                  <c:v>35.1</c:v>
                </c:pt>
                <c:pt idx="40">
                  <c:v>36</c:v>
                </c:pt>
                <c:pt idx="41">
                  <c:v>36.9</c:v>
                </c:pt>
                <c:pt idx="42">
                  <c:v>37.799999999999997</c:v>
                </c:pt>
                <c:pt idx="43">
                  <c:v>38.700000000000003</c:v>
                </c:pt>
                <c:pt idx="44">
                  <c:v>39.6</c:v>
                </c:pt>
                <c:pt idx="45">
                  <c:v>40.5</c:v>
                </c:pt>
                <c:pt idx="46">
                  <c:v>41.4</c:v>
                </c:pt>
                <c:pt idx="47">
                  <c:v>42.3</c:v>
                </c:pt>
                <c:pt idx="48">
                  <c:v>43.2</c:v>
                </c:pt>
                <c:pt idx="49">
                  <c:v>44.1</c:v>
                </c:pt>
                <c:pt idx="50">
                  <c:v>45</c:v>
                </c:pt>
                <c:pt idx="51">
                  <c:v>45.9</c:v>
                </c:pt>
                <c:pt idx="52">
                  <c:v>46.8</c:v>
                </c:pt>
                <c:pt idx="53">
                  <c:v>47.7</c:v>
                </c:pt>
                <c:pt idx="54">
                  <c:v>48.6</c:v>
                </c:pt>
                <c:pt idx="55">
                  <c:v>49.5</c:v>
                </c:pt>
                <c:pt idx="56">
                  <c:v>50.4</c:v>
                </c:pt>
                <c:pt idx="57">
                  <c:v>51.3</c:v>
                </c:pt>
                <c:pt idx="58">
                  <c:v>52.2</c:v>
                </c:pt>
                <c:pt idx="59">
                  <c:v>53.1</c:v>
                </c:pt>
                <c:pt idx="60">
                  <c:v>54</c:v>
                </c:pt>
                <c:pt idx="61">
                  <c:v>54.9</c:v>
                </c:pt>
                <c:pt idx="62">
                  <c:v>55.8</c:v>
                </c:pt>
                <c:pt idx="63">
                  <c:v>56.7</c:v>
                </c:pt>
                <c:pt idx="64">
                  <c:v>57.6</c:v>
                </c:pt>
                <c:pt idx="65">
                  <c:v>58.5</c:v>
                </c:pt>
                <c:pt idx="66">
                  <c:v>59.4</c:v>
                </c:pt>
                <c:pt idx="67">
                  <c:v>60.3</c:v>
                </c:pt>
                <c:pt idx="68">
                  <c:v>61.2</c:v>
                </c:pt>
                <c:pt idx="69">
                  <c:v>62.1</c:v>
                </c:pt>
                <c:pt idx="70">
                  <c:v>63</c:v>
                </c:pt>
                <c:pt idx="71">
                  <c:v>63.9</c:v>
                </c:pt>
                <c:pt idx="72">
                  <c:v>64.8</c:v>
                </c:pt>
                <c:pt idx="73">
                  <c:v>65.7</c:v>
                </c:pt>
                <c:pt idx="74">
                  <c:v>66.599999999999994</c:v>
                </c:pt>
                <c:pt idx="75">
                  <c:v>67.5</c:v>
                </c:pt>
                <c:pt idx="76">
                  <c:v>68.400000000000006</c:v>
                </c:pt>
                <c:pt idx="77">
                  <c:v>69.3</c:v>
                </c:pt>
                <c:pt idx="78">
                  <c:v>70.2</c:v>
                </c:pt>
                <c:pt idx="79">
                  <c:v>71.099999999999994</c:v>
                </c:pt>
                <c:pt idx="80">
                  <c:v>72</c:v>
                </c:pt>
                <c:pt idx="81">
                  <c:v>72.900000000000006</c:v>
                </c:pt>
                <c:pt idx="82">
                  <c:v>73.8</c:v>
                </c:pt>
                <c:pt idx="83">
                  <c:v>74.7</c:v>
                </c:pt>
                <c:pt idx="84">
                  <c:v>75.599999999999994</c:v>
                </c:pt>
                <c:pt idx="85">
                  <c:v>76.5</c:v>
                </c:pt>
                <c:pt idx="86">
                  <c:v>77.400000000000006</c:v>
                </c:pt>
                <c:pt idx="87">
                  <c:v>78.3</c:v>
                </c:pt>
                <c:pt idx="88">
                  <c:v>79.2</c:v>
                </c:pt>
                <c:pt idx="89">
                  <c:v>80.099999999999994</c:v>
                </c:pt>
                <c:pt idx="90">
                  <c:v>81</c:v>
                </c:pt>
                <c:pt idx="91">
                  <c:v>81.900000000000006</c:v>
                </c:pt>
                <c:pt idx="92">
                  <c:v>82.8</c:v>
                </c:pt>
                <c:pt idx="93">
                  <c:v>83.7</c:v>
                </c:pt>
                <c:pt idx="94">
                  <c:v>84.6</c:v>
                </c:pt>
                <c:pt idx="95">
                  <c:v>85.5</c:v>
                </c:pt>
                <c:pt idx="96">
                  <c:v>86.4</c:v>
                </c:pt>
                <c:pt idx="97">
                  <c:v>87.3</c:v>
                </c:pt>
                <c:pt idx="98">
                  <c:v>88.2</c:v>
                </c:pt>
                <c:pt idx="99">
                  <c:v>89.1</c:v>
                </c:pt>
                <c:pt idx="100">
                  <c:v>90</c:v>
                </c:pt>
                <c:pt idx="101">
                  <c:v>90.9</c:v>
                </c:pt>
                <c:pt idx="102">
                  <c:v>91.8</c:v>
                </c:pt>
                <c:pt idx="103">
                  <c:v>92.7</c:v>
                </c:pt>
                <c:pt idx="104">
                  <c:v>93.6</c:v>
                </c:pt>
                <c:pt idx="105">
                  <c:v>94.5</c:v>
                </c:pt>
                <c:pt idx="106">
                  <c:v>95.4</c:v>
                </c:pt>
                <c:pt idx="107">
                  <c:v>96.3</c:v>
                </c:pt>
                <c:pt idx="108">
                  <c:v>97.2</c:v>
                </c:pt>
                <c:pt idx="109">
                  <c:v>98.1</c:v>
                </c:pt>
                <c:pt idx="110">
                  <c:v>99</c:v>
                </c:pt>
                <c:pt idx="111">
                  <c:v>99.9</c:v>
                </c:pt>
                <c:pt idx="112">
                  <c:v>100.8</c:v>
                </c:pt>
                <c:pt idx="113">
                  <c:v>101.7</c:v>
                </c:pt>
                <c:pt idx="114">
                  <c:v>102.6</c:v>
                </c:pt>
                <c:pt idx="115">
                  <c:v>103.5</c:v>
                </c:pt>
                <c:pt idx="116">
                  <c:v>104.4</c:v>
                </c:pt>
                <c:pt idx="117">
                  <c:v>105.3</c:v>
                </c:pt>
                <c:pt idx="118">
                  <c:v>106.2</c:v>
                </c:pt>
                <c:pt idx="119">
                  <c:v>107.1</c:v>
                </c:pt>
                <c:pt idx="120">
                  <c:v>108</c:v>
                </c:pt>
                <c:pt idx="121">
                  <c:v>108.9</c:v>
                </c:pt>
                <c:pt idx="122">
                  <c:v>109.8</c:v>
                </c:pt>
                <c:pt idx="123">
                  <c:v>110.7</c:v>
                </c:pt>
                <c:pt idx="124">
                  <c:v>111.6</c:v>
                </c:pt>
                <c:pt idx="125">
                  <c:v>112.5</c:v>
                </c:pt>
                <c:pt idx="126">
                  <c:v>113.4</c:v>
                </c:pt>
                <c:pt idx="127">
                  <c:v>114.3</c:v>
                </c:pt>
                <c:pt idx="128">
                  <c:v>115.2</c:v>
                </c:pt>
                <c:pt idx="129">
                  <c:v>116.1</c:v>
                </c:pt>
                <c:pt idx="130">
                  <c:v>117</c:v>
                </c:pt>
                <c:pt idx="131">
                  <c:v>117.9</c:v>
                </c:pt>
                <c:pt idx="132">
                  <c:v>118.8</c:v>
                </c:pt>
                <c:pt idx="133">
                  <c:v>119.7</c:v>
                </c:pt>
                <c:pt idx="134">
                  <c:v>120.6</c:v>
                </c:pt>
                <c:pt idx="135">
                  <c:v>121.5</c:v>
                </c:pt>
                <c:pt idx="136">
                  <c:v>122.4</c:v>
                </c:pt>
                <c:pt idx="137">
                  <c:v>123.3</c:v>
                </c:pt>
                <c:pt idx="138">
                  <c:v>124.2</c:v>
                </c:pt>
                <c:pt idx="139">
                  <c:v>125.1</c:v>
                </c:pt>
                <c:pt idx="140">
                  <c:v>126</c:v>
                </c:pt>
                <c:pt idx="141">
                  <c:v>126.9</c:v>
                </c:pt>
                <c:pt idx="142">
                  <c:v>127.8</c:v>
                </c:pt>
                <c:pt idx="143">
                  <c:v>128.69999999999999</c:v>
                </c:pt>
                <c:pt idx="144">
                  <c:v>129.6</c:v>
                </c:pt>
                <c:pt idx="145">
                  <c:v>130.5</c:v>
                </c:pt>
                <c:pt idx="146">
                  <c:v>131.4</c:v>
                </c:pt>
                <c:pt idx="147">
                  <c:v>132.30000000000001</c:v>
                </c:pt>
                <c:pt idx="148">
                  <c:v>133.19999999999999</c:v>
                </c:pt>
                <c:pt idx="149">
                  <c:v>134.1</c:v>
                </c:pt>
                <c:pt idx="150">
                  <c:v>135</c:v>
                </c:pt>
                <c:pt idx="151">
                  <c:v>135.9</c:v>
                </c:pt>
                <c:pt idx="152">
                  <c:v>136.80000000000001</c:v>
                </c:pt>
                <c:pt idx="153">
                  <c:v>137.69999999999999</c:v>
                </c:pt>
                <c:pt idx="154">
                  <c:v>138.6</c:v>
                </c:pt>
                <c:pt idx="155">
                  <c:v>139.5</c:v>
                </c:pt>
                <c:pt idx="156">
                  <c:v>140.4</c:v>
                </c:pt>
                <c:pt idx="157">
                  <c:v>141.30000000000001</c:v>
                </c:pt>
                <c:pt idx="158">
                  <c:v>142.19999999999999</c:v>
                </c:pt>
                <c:pt idx="159">
                  <c:v>143.1</c:v>
                </c:pt>
                <c:pt idx="160">
                  <c:v>144</c:v>
                </c:pt>
                <c:pt idx="161">
                  <c:v>144.9</c:v>
                </c:pt>
                <c:pt idx="162">
                  <c:v>145.80000000000001</c:v>
                </c:pt>
                <c:pt idx="163">
                  <c:v>146.69999999999999</c:v>
                </c:pt>
                <c:pt idx="164">
                  <c:v>147.6</c:v>
                </c:pt>
                <c:pt idx="165">
                  <c:v>148.5</c:v>
                </c:pt>
                <c:pt idx="166">
                  <c:v>149.4</c:v>
                </c:pt>
                <c:pt idx="167">
                  <c:v>150.30000000000001</c:v>
                </c:pt>
                <c:pt idx="168">
                  <c:v>151.19999999999999</c:v>
                </c:pt>
                <c:pt idx="169">
                  <c:v>152.1</c:v>
                </c:pt>
                <c:pt idx="170">
                  <c:v>153</c:v>
                </c:pt>
                <c:pt idx="171">
                  <c:v>153.9</c:v>
                </c:pt>
                <c:pt idx="172">
                  <c:v>154.80000000000001</c:v>
                </c:pt>
                <c:pt idx="173">
                  <c:v>155.69999999999999</c:v>
                </c:pt>
                <c:pt idx="174">
                  <c:v>156.6</c:v>
                </c:pt>
                <c:pt idx="175">
                  <c:v>157.5</c:v>
                </c:pt>
                <c:pt idx="176">
                  <c:v>158.4</c:v>
                </c:pt>
                <c:pt idx="177">
                  <c:v>159.30000000000001</c:v>
                </c:pt>
                <c:pt idx="178">
                  <c:v>160.19999999999999</c:v>
                </c:pt>
                <c:pt idx="179">
                  <c:v>161.1</c:v>
                </c:pt>
                <c:pt idx="180">
                  <c:v>162</c:v>
                </c:pt>
                <c:pt idx="181">
                  <c:v>162.9</c:v>
                </c:pt>
                <c:pt idx="182">
                  <c:v>163.80000000000001</c:v>
                </c:pt>
                <c:pt idx="183">
                  <c:v>164.7</c:v>
                </c:pt>
                <c:pt idx="184">
                  <c:v>165.6</c:v>
                </c:pt>
                <c:pt idx="185">
                  <c:v>166.5</c:v>
                </c:pt>
                <c:pt idx="186">
                  <c:v>167.4</c:v>
                </c:pt>
                <c:pt idx="187">
                  <c:v>168.3</c:v>
                </c:pt>
                <c:pt idx="188">
                  <c:v>169.2</c:v>
                </c:pt>
                <c:pt idx="189">
                  <c:v>170.1</c:v>
                </c:pt>
                <c:pt idx="190">
                  <c:v>171</c:v>
                </c:pt>
                <c:pt idx="191">
                  <c:v>171.9</c:v>
                </c:pt>
                <c:pt idx="192">
                  <c:v>172.8</c:v>
                </c:pt>
                <c:pt idx="193">
                  <c:v>173.7</c:v>
                </c:pt>
                <c:pt idx="194">
                  <c:v>174.6</c:v>
                </c:pt>
                <c:pt idx="195">
                  <c:v>175.5</c:v>
                </c:pt>
                <c:pt idx="196">
                  <c:v>176.4</c:v>
                </c:pt>
                <c:pt idx="197">
                  <c:v>177.3</c:v>
                </c:pt>
                <c:pt idx="198">
                  <c:v>178.2</c:v>
                </c:pt>
                <c:pt idx="199">
                  <c:v>179.1</c:v>
                </c:pt>
                <c:pt idx="200">
                  <c:v>180</c:v>
                </c:pt>
              </c:numCache>
            </c:numRef>
          </c:xVal>
          <c:yVal>
            <c:numRef>
              <c:f>Data!$F$12:$F$212</c:f>
              <c:numCache>
                <c:formatCode>General</c:formatCode>
                <c:ptCount val="201"/>
                <c:pt idx="0">
                  <c:v>0</c:v>
                </c:pt>
                <c:pt idx="1">
                  <c:v>24.965754940958721</c:v>
                </c:pt>
                <c:pt idx="2">
                  <c:v>15.003821168771967</c:v>
                </c:pt>
                <c:pt idx="3">
                  <c:v>-13.596017688947295</c:v>
                </c:pt>
                <c:pt idx="4">
                  <c:v>-16.765779333523795</c:v>
                </c:pt>
                <c:pt idx="5">
                  <c:v>12.531791168642258</c:v>
                </c:pt>
                <c:pt idx="6">
                  <c:v>33.925125883061021</c:v>
                </c:pt>
                <c:pt idx="7">
                  <c:v>18.801253242445789</c:v>
                </c:pt>
                <c:pt idx="8">
                  <c:v>-7.7583604134932376</c:v>
                </c:pt>
                <c:pt idx="9">
                  <c:v>-3.7728412984122173</c:v>
                </c:pt>
                <c:pt idx="10">
                  <c:v>28.065678558079981</c:v>
                </c:pt>
                <c:pt idx="11">
                  <c:v>44.330097968945758</c:v>
                </c:pt>
                <c:pt idx="12">
                  <c:v>24.531415607704723</c:v>
                </c:pt>
                <c:pt idx="13">
                  <c:v>1.156928856645802</c:v>
                </c:pt>
                <c:pt idx="14">
                  <c:v>12.025591941627681</c:v>
                </c:pt>
                <c:pt idx="15">
                  <c:v>44.825863101490192</c:v>
                </c:pt>
                <c:pt idx="16">
                  <c:v>55.16493684363715</c:v>
                </c:pt>
                <c:pt idx="17">
                  <c:v>31.662063917424035</c:v>
                </c:pt>
                <c:pt idx="18">
                  <c:v>12.633790494332743</c:v>
                </c:pt>
                <c:pt idx="19">
                  <c:v>29.904009987789763</c:v>
                </c:pt>
                <c:pt idx="20">
                  <c:v>62.135055828403196</c:v>
                </c:pt>
                <c:pt idx="21">
                  <c:v>66.114531308187367</c:v>
                </c:pt>
                <c:pt idx="22">
                  <c:v>40.119201580927893</c:v>
                </c:pt>
                <c:pt idx="23">
                  <c:v>26.439851153478706</c:v>
                </c:pt>
                <c:pt idx="24">
                  <c:v>49.364662139595275</c:v>
                </c:pt>
                <c:pt idx="25">
                  <c:v>79.561541021644913</c:v>
                </c:pt>
                <c:pt idx="26">
                  <c:v>77.088716065869889</c:v>
                </c:pt>
                <c:pt idx="27">
                  <c:v>49.963355549936288</c:v>
                </c:pt>
                <c:pt idx="28">
                  <c:v>42.403859620435142</c:v>
                </c:pt>
                <c:pt idx="29">
                  <c:v>69.987180930370229</c:v>
                </c:pt>
                <c:pt idx="30">
                  <c:v>96.80571015512362</c:v>
                </c:pt>
                <c:pt idx="31">
                  <c:v>88.120593986265149</c:v>
                </c:pt>
                <c:pt idx="32">
                  <c:v>61.301270499982984</c:v>
                </c:pt>
                <c:pt idx="33">
                  <c:v>60.35407836869868</c:v>
                </c:pt>
                <c:pt idx="34">
                  <c:v>91.390883561114705</c:v>
                </c:pt>
                <c:pt idx="35">
                  <c:v>113.66576829269044</c:v>
                </c:pt>
                <c:pt idx="36">
                  <c:v>99.323472346434883</c:v>
                </c:pt>
                <c:pt idx="37">
                  <c:v>74.245169041796174</c:v>
                </c:pt>
                <c:pt idx="38">
                  <c:v>80.095805421643973</c:v>
                </c:pt>
                <c:pt idx="39">
                  <c:v>113.22633917243981</c:v>
                </c:pt>
                <c:pt idx="40">
                  <c:v>130.0239132253428</c:v>
                </c:pt>
                <c:pt idx="41">
                  <c:v>110.8645322841741</c:v>
                </c:pt>
                <c:pt idx="42">
                  <c:v>88.888783824846939</c:v>
                </c:pt>
                <c:pt idx="43">
                  <c:v>101.40422157886346</c:v>
                </c:pt>
                <c:pt idx="44">
                  <c:v>135.17738490825923</c:v>
                </c:pt>
                <c:pt idx="45">
                  <c:v>145.83859394524222</c:v>
                </c:pt>
                <c:pt idx="46">
                  <c:v>122.94455482758613</c:v>
                </c:pt>
                <c:pt idx="47">
                  <c:v>105.29173193177793</c:v>
                </c:pt>
                <c:pt idx="48">
                  <c:v>124.02513626800382</c:v>
                </c:pt>
                <c:pt idx="49">
                  <c:v>156.96713471149167</c:v>
                </c:pt>
                <c:pt idx="50">
                  <c:v>161.13797779559783</c:v>
                </c:pt>
                <c:pt idx="51">
                  <c:v>135.78032428439312</c:v>
                </c:pt>
                <c:pt idx="52">
                  <c:v>123.46933748713505</c:v>
                </c:pt>
                <c:pt idx="53">
                  <c:v>147.68052022486836</c:v>
                </c:pt>
                <c:pt idx="54">
                  <c:v>178.3650826640278</c:v>
                </c:pt>
                <c:pt idx="55">
                  <c:v>176.01271937701125</c:v>
                </c:pt>
                <c:pt idx="56">
                  <c:v>149.5886551250853</c:v>
                </c:pt>
                <c:pt idx="57">
                  <c:v>143.38675387629391</c:v>
                </c:pt>
                <c:pt idx="58">
                  <c:v>172.07713729001182</c:v>
                </c:pt>
                <c:pt idx="59">
                  <c:v>199.19372302968006</c:v>
                </c:pt>
                <c:pt idx="60">
                  <c:v>190.60730403789577</c:v>
                </c:pt>
                <c:pt idx="61">
                  <c:v>164.57187160233508</c:v>
                </c:pt>
                <c:pt idx="62">
                  <c:v>164.9568402108317</c:v>
                </c:pt>
                <c:pt idx="63">
                  <c:v>196.91712547753417</c:v>
                </c:pt>
                <c:pt idx="64">
                  <c:v>219.33371842754536</c:v>
                </c:pt>
                <c:pt idx="65">
                  <c:v>205.10980901591037</c:v>
                </c:pt>
                <c:pt idx="66">
                  <c:v>180.90492973705625</c:v>
                </c:pt>
                <c:pt idx="67">
                  <c:v>188.04143652810515</c:v>
                </c:pt>
                <c:pt idx="68">
                  <c:v>221.90960481816293</c:v>
                </c:pt>
                <c:pt idx="69">
                  <c:v>238.72699731944701</c:v>
                </c:pt>
                <c:pt idx="70">
                  <c:v>219.74024557031456</c:v>
                </c:pt>
                <c:pt idx="71">
                  <c:v>198.72450502988443</c:v>
                </c:pt>
                <c:pt idx="72">
                  <c:v>212.4557048434057</c:v>
                </c:pt>
                <c:pt idx="73">
                  <c:v>246.78250444685187</c:v>
                </c:pt>
                <c:pt idx="74">
                  <c:v>257.37740750564421</c:v>
                </c:pt>
                <c:pt idx="75">
                  <c:v>234.73784271655194</c:v>
                </c:pt>
                <c:pt idx="76">
                  <c:v>218.12038827172248</c:v>
                </c:pt>
                <c:pt idx="77">
                  <c:v>237.9751563582046</c:v>
                </c:pt>
                <c:pt idx="78">
                  <c:v>271.29388132894985</c:v>
                </c:pt>
                <c:pt idx="79">
                  <c:v>275.3487514917029</c:v>
                </c:pt>
                <c:pt idx="80">
                  <c:v>250.34775687143619</c:v>
                </c:pt>
                <c:pt idx="81">
                  <c:v>239.12948522539344</c:v>
                </c:pt>
                <c:pt idx="82">
                  <c:v>264.34491370014194</c:v>
                </c:pt>
                <c:pt idx="83">
                  <c:v>295.24208038451678</c:v>
                </c:pt>
                <c:pt idx="84">
                  <c:v>292.76020392323932</c:v>
                </c:pt>
                <c:pt idx="85">
                  <c:v>266.8077626156275</c:v>
                </c:pt>
                <c:pt idx="86">
                  <c:v>261.73262905222282</c:v>
                </c:pt>
                <c:pt idx="87">
                  <c:v>291.29068442463466</c:v>
                </c:pt>
                <c:pt idx="88">
                  <c:v>318.47417411315405</c:v>
                </c:pt>
                <c:pt idx="89">
                  <c:v>309.77926736621379</c:v>
                </c:pt>
                <c:pt idx="90">
                  <c:v>284.33550753497991</c:v>
                </c:pt>
                <c:pt idx="91">
                  <c:v>285.85430279534143</c:v>
                </c:pt>
                <c:pt idx="92">
                  <c:v>318.5308616618492</c:v>
                </c:pt>
                <c:pt idx="93">
                  <c:v>340.89222364712731</c:v>
                </c:pt>
                <c:pt idx="94">
                  <c:v>326.61256070599995</c:v>
                </c:pt>
                <c:pt idx="95">
                  <c:v>303.11690417252589</c:v>
                </c:pt>
                <c:pt idx="96">
                  <c:v>311.36524441007055</c:v>
                </c:pt>
                <c:pt idx="97">
                  <c:v>345.78912798280135</c:v>
                </c:pt>
                <c:pt idx="98">
                  <c:v>362.45702215659196</c:v>
                </c:pt>
                <c:pt idx="99">
                  <c:v>343.49485185785051</c:v>
                </c:pt>
                <c:pt idx="100">
                  <c:v>323.29618871359344</c:v>
                </c:pt>
                <c:pt idx="101">
                  <c:v>338.08777811188025</c:v>
                </c:pt>
                <c:pt idx="102">
                  <c:v>372.80692417564262</c:v>
                </c:pt>
                <c:pt idx="103">
                  <c:v>383.18911259343287</c:v>
                </c:pt>
                <c:pt idx="104">
                  <c:v>360.67684002071138</c:v>
                </c:pt>
                <c:pt idx="105">
                  <c:v>344.96810337328589</c:v>
                </c:pt>
                <c:pt idx="106">
                  <c:v>365.80359133931427</c:v>
                </c:pt>
                <c:pt idx="107">
                  <c:v>399.35515809038355</c:v>
                </c:pt>
                <c:pt idx="108">
                  <c:v>403.16701010395383</c:v>
                </c:pt>
                <c:pt idx="109">
                  <c:v>378.41225924418393</c:v>
                </c:pt>
                <c:pt idx="110">
                  <c:v>368.17256234081066</c:v>
                </c:pt>
                <c:pt idx="111">
                  <c:v>394.26356357387482</c:v>
                </c:pt>
                <c:pt idx="112">
                  <c:v>425.24457041589915</c:v>
                </c:pt>
                <c:pt idx="113">
                  <c:v>422.52269931635732</c:v>
                </c:pt>
                <c:pt idx="114">
                  <c:v>396.94491225284406</c:v>
                </c:pt>
                <c:pt idx="115">
                  <c:v>392.89204504009086</c:v>
                </c:pt>
                <c:pt idx="116">
                  <c:v>423.19915780449196</c:v>
                </c:pt>
                <c:pt idx="117">
                  <c:v>450.33424283008173</c:v>
                </c:pt>
                <c:pt idx="118">
                  <c:v>441.43461194193736</c:v>
                </c:pt>
                <c:pt idx="119">
                  <c:v>416.49625002859227</c:v>
                </c:pt>
                <c:pt idx="120">
                  <c:v>419.05183150378218</c:v>
                </c:pt>
                <c:pt idx="121">
                  <c:v>452.33481264114948</c:v>
                </c:pt>
                <c:pt idx="122">
                  <c:v>474.53782650813343</c:v>
                </c:pt>
                <c:pt idx="123">
                  <c:v>460.11841455744951</c:v>
                </c:pt>
                <c:pt idx="124">
                  <c:v>437.25408862107287</c:v>
                </c:pt>
                <c:pt idx="125">
                  <c:v>446.52305938985654</c:v>
                </c:pt>
                <c:pt idx="126">
                  <c:v>481.4007267905622</c:v>
                </c:pt>
                <c:pt idx="127">
                  <c:v>497.8271812834567</c:v>
                </c:pt>
                <c:pt idx="128">
                  <c:v>478.81604429310056</c:v>
                </c:pt>
                <c:pt idx="129">
                  <c:v>459.36300143652858</c:v>
                </c:pt>
                <c:pt idx="130">
                  <c:v>475.12844735676481</c:v>
                </c:pt>
                <c:pt idx="131">
                  <c:v>510.14541024570173</c:v>
                </c:pt>
                <c:pt idx="132">
                  <c:v>520.23324257943545</c:v>
                </c:pt>
                <c:pt idx="133">
                  <c:v>497.78351638635911</c:v>
                </c:pt>
                <c:pt idx="134">
                  <c:v>482.91684557774653</c:v>
                </c:pt>
                <c:pt idx="135">
                  <c:v>504.65040182488474</c:v>
                </c:pt>
                <c:pt idx="136">
                  <c:v>538.34738908443956</c:v>
                </c:pt>
                <c:pt idx="137">
                  <c:v>541.84406855874806</c:v>
                </c:pt>
                <c:pt idx="138">
                  <c:v>517.27808812370233</c:v>
                </c:pt>
                <c:pt idx="139">
                  <c:v>507.9537786388355</c:v>
                </c:pt>
                <c:pt idx="140">
                  <c:v>534.84110986750557</c:v>
                </c:pt>
                <c:pt idx="141">
                  <c:v>565.82549271137725</c:v>
                </c:pt>
                <c:pt idx="142">
                  <c:v>562.80015731101798</c:v>
                </c:pt>
                <c:pt idx="143">
                  <c:v>537.5453957312892</c:v>
                </c:pt>
                <c:pt idx="144">
                  <c:v>534.45400271683945</c:v>
                </c:pt>
                <c:pt idx="145">
                  <c:v>565.43412569608097</c:v>
                </c:pt>
                <c:pt idx="146">
                  <c:v>592.44722174699132</c:v>
                </c:pt>
                <c:pt idx="147">
                  <c:v>583.28725673577151</c:v>
                </c:pt>
                <c:pt idx="148">
                  <c:v>558.80718279972359</c:v>
                </c:pt>
                <c:pt idx="149">
                  <c:v>562.34034113307678</c:v>
                </c:pt>
                <c:pt idx="150">
                  <c:v>596.15688659466821</c:v>
                </c:pt>
                <c:pt idx="151">
                  <c:v>618.13478826357925</c:v>
                </c:pt>
                <c:pt idx="152">
                  <c:v>603.5270116935493</c:v>
                </c:pt>
                <c:pt idx="153">
                  <c:v>581.25021078524492</c:v>
                </c:pt>
                <c:pt idx="154">
                  <c:v>591.48161685158243</c:v>
                </c:pt>
                <c:pt idx="155">
                  <c:v>626.74354971761272</c:v>
                </c:pt>
                <c:pt idx="156">
                  <c:v>642.86853319801787</c:v>
                </c:pt>
                <c:pt idx="157">
                  <c:v>623.76589812888415</c:v>
                </c:pt>
                <c:pt idx="158">
                  <c:v>605.01688540376745</c:v>
                </c:pt>
                <c:pt idx="159">
                  <c:v>621.69866647474623</c:v>
                </c:pt>
                <c:pt idx="160">
                  <c:v>656.94752607348016</c:v>
                </c:pt>
                <c:pt idx="161">
                  <c:v>666.68755309146047</c:v>
                </c:pt>
                <c:pt idx="162">
                  <c:v>644.26297715375631</c:v>
                </c:pt>
                <c:pt idx="163">
                  <c:v>630.19805009804338</c:v>
                </c:pt>
                <c:pt idx="164">
                  <c:v>652.77269654560678</c:v>
                </c:pt>
                <c:pt idx="165">
                  <c:v>686.55310302552505</c:v>
                </c:pt>
                <c:pt idx="166">
                  <c:v>689.68750367401901</c:v>
                </c:pt>
                <c:pt idx="167">
                  <c:v>665.2770595046029</c:v>
                </c:pt>
                <c:pt idx="168">
                  <c:v>656.82829322344674</c:v>
                </c:pt>
                <c:pt idx="169">
                  <c:v>684.45557586346945</c:v>
                </c:pt>
                <c:pt idx="170">
                  <c:v>715.38559103757143</c:v>
                </c:pt>
                <c:pt idx="171">
                  <c:v>712.01568469422966</c:v>
                </c:pt>
                <c:pt idx="172">
                  <c:v>687.05389959132253</c:v>
                </c:pt>
                <c:pt idx="173">
                  <c:v>684.88399423938472</c:v>
                </c:pt>
                <c:pt idx="174">
                  <c:v>716.48156410093441</c:v>
                </c:pt>
                <c:pt idx="175">
                  <c:v>743.3195020428135</c:v>
                </c:pt>
                <c:pt idx="176">
                  <c:v>733.86364217663345</c:v>
                </c:pt>
                <c:pt idx="177">
                  <c:v>709.81403715406395</c:v>
                </c:pt>
                <c:pt idx="178">
                  <c:v>714.28420189072153</c:v>
                </c:pt>
                <c:pt idx="179">
                  <c:v>748.57990773348979</c:v>
                </c:pt>
                <c:pt idx="180">
                  <c:v>770.28436226165263</c:v>
                </c:pt>
                <c:pt idx="181">
                  <c:v>755.45764460962141</c:v>
                </c:pt>
                <c:pt idx="182">
                  <c:v>733.74187340493336</c:v>
                </c:pt>
                <c:pt idx="183">
                  <c:v>744.89430052798821</c:v>
                </c:pt>
                <c:pt idx="184">
                  <c:v>780.48769250857788</c:v>
                </c:pt>
                <c:pt idx="185">
                  <c:v>796.26787692473476</c:v>
                </c:pt>
                <c:pt idx="186">
                  <c:v>777.04749260438473</c:v>
                </c:pt>
                <c:pt idx="187">
                  <c:v>758.97650896651487</c:v>
                </c:pt>
                <c:pt idx="188">
                  <c:v>776.53228597268537</c:v>
                </c:pt>
                <c:pt idx="189">
                  <c:v>811.9623294242831</c:v>
                </c:pt>
                <c:pt idx="190">
                  <c:v>821.3162926342784</c:v>
                </c:pt>
                <c:pt idx="191">
                  <c:v>798.89420234497982</c:v>
                </c:pt>
                <c:pt idx="192">
                  <c:v>785.60478581680002</c:v>
                </c:pt>
                <c:pt idx="193">
                  <c:v>808.97734620946892</c:v>
                </c:pt>
                <c:pt idx="194">
                  <c:v>842.79306905222154</c:v>
                </c:pt>
                <c:pt idx="195">
                  <c:v>845.53193881528568</c:v>
                </c:pt>
                <c:pt idx="196">
                  <c:v>821.25715776491677</c:v>
                </c:pt>
                <c:pt idx="197">
                  <c:v>813.65686893152099</c:v>
                </c:pt>
                <c:pt idx="198">
                  <c:v>841.98033078675041</c:v>
                </c:pt>
                <c:pt idx="199">
                  <c:v>872.8109861659525</c:v>
                </c:pt>
                <c:pt idx="200">
                  <c:v>869.06806630649987</c:v>
                </c:pt>
              </c:numCache>
            </c:numRef>
          </c:yVal>
          <c:smooth val="1"/>
        </c:ser>
        <c:ser>
          <c:idx val="1"/>
          <c:order val="1"/>
          <c:tx>
            <c:strRef>
              <c:f>Data!$I$10</c:f>
              <c:strCache>
                <c:ptCount val="1"/>
                <c:pt idx="0">
                  <c:v>Series 2</c:v>
                </c:pt>
              </c:strCache>
            </c:strRef>
          </c:tx>
          <c:marker>
            <c:symbol val="none"/>
          </c:marker>
          <c:xVal>
            <c:numRef>
              <c:f>Data!$H$12:$H$212</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Data!$I$12:$I$212</c:f>
              <c:numCache>
                <c:formatCode>General</c:formatCode>
                <c:ptCount val="201"/>
                <c:pt idx="0">
                  <c:v>0</c:v>
                </c:pt>
                <c:pt idx="1">
                  <c:v>7.7952261835137939</c:v>
                </c:pt>
                <c:pt idx="2">
                  <c:v>12.268094040595022</c:v>
                </c:pt>
                <c:pt idx="3">
                  <c:v>11.572061730570018</c:v>
                </c:pt>
                <c:pt idx="4">
                  <c:v>6.803508896532855</c:v>
                </c:pt>
                <c:pt idx="5">
                  <c:v>1.3021260772105512</c:v>
                </c:pt>
                <c:pt idx="6">
                  <c:v>-1.1514908580724352</c:v>
                </c:pt>
                <c:pt idx="7">
                  <c:v>1.6392974547427581</c:v>
                </c:pt>
                <c:pt idx="8">
                  <c:v>9.1104860758831645</c:v>
                </c:pt>
                <c:pt idx="9">
                  <c:v>18.233426226715885</c:v>
                </c:pt>
                <c:pt idx="10">
                  <c:v>25.124916488035772</c:v>
                </c:pt>
                <c:pt idx="11">
                  <c:v>27.113257585065995</c:v>
                </c:pt>
                <c:pt idx="12">
                  <c:v>24.159457358340003</c:v>
                </c:pt>
                <c:pt idx="13">
                  <c:v>18.876376320386239</c:v>
                </c:pt>
                <c:pt idx="14">
                  <c:v>15.135521356436282</c:v>
                </c:pt>
                <c:pt idx="15">
                  <c:v>16.003572805900156</c:v>
                </c:pt>
                <c:pt idx="16">
                  <c:v>22.107794004618547</c:v>
                </c:pt>
                <c:pt idx="17">
                  <c:v>31.301022814574125</c:v>
                </c:pt>
                <c:pt idx="18">
                  <c:v>39.804677397654956</c:v>
                </c:pt>
                <c:pt idx="19">
                  <c:v>44.220889467721108</c:v>
                </c:pt>
                <c:pt idx="20">
                  <c:v>43.341906026830081</c:v>
                </c:pt>
                <c:pt idx="21">
                  <c:v>38.79289678069555</c:v>
                </c:pt>
                <c:pt idx="22">
                  <c:v>34.165740790844701</c:v>
                </c:pt>
                <c:pt idx="23">
                  <c:v>33.105209194253142</c:v>
                </c:pt>
                <c:pt idx="24">
                  <c:v>37.367011171609107</c:v>
                </c:pt>
                <c:pt idx="25">
                  <c:v>45.882159540882881</c:v>
                </c:pt>
                <c:pt idx="26">
                  <c:v>55.326055857658432</c:v>
                </c:pt>
                <c:pt idx="27">
                  <c:v>61.889145176366348</c:v>
                </c:pt>
                <c:pt idx="28">
                  <c:v>63.305925936465087</c:v>
                </c:pt>
                <c:pt idx="29">
                  <c:v>60.06147743692194</c:v>
                </c:pt>
                <c:pt idx="30">
                  <c:v>55.132796589303197</c:v>
                </c:pt>
                <c:pt idx="31">
                  <c:v>52.402729664812313</c:v>
                </c:pt>
                <c:pt idx="32">
                  <c:v>54.591381534297689</c:v>
                </c:pt>
                <c:pt idx="33">
                  <c:v>61.806920441266406</c:v>
                </c:pt>
                <c:pt idx="34">
                  <c:v>71.487750164378582</c:v>
                </c:pt>
                <c:pt idx="35">
                  <c:v>79.766852846957519</c:v>
                </c:pt>
                <c:pt idx="36">
                  <c:v>83.531528546186252</c:v>
                </c:pt>
                <c:pt idx="37">
                  <c:v>82.081326168213934</c:v>
                </c:pt>
                <c:pt idx="38">
                  <c:v>77.501000332710106</c:v>
                </c:pt>
                <c:pt idx="39">
                  <c:v>73.549822762431745</c:v>
                </c:pt>
                <c:pt idx="40">
                  <c:v>73.658901280991657</c:v>
                </c:pt>
                <c:pt idx="41">
                  <c:v>79.103315777654927</c:v>
                </c:pt>
                <c:pt idx="42">
                  <c:v>88.322757146712974</c:v>
                </c:pt>
                <c:pt idx="43">
                  <c:v>97.752558192198109</c:v>
                </c:pt>
                <c:pt idx="44">
                  <c:v>103.7224335003816</c:v>
                </c:pt>
                <c:pt idx="45">
                  <c:v>104.41148648638375</c:v>
                </c:pt>
                <c:pt idx="46">
                  <c:v>100.81806884325063</c:v>
                </c:pt>
                <c:pt idx="47">
                  <c:v>96.227856794796409</c:v>
                </c:pt>
                <c:pt idx="48">
                  <c:v>94.463494796526817</c:v>
                </c:pt>
                <c:pt idx="49">
                  <c:v>97.848205264469129</c:v>
                </c:pt>
                <c:pt idx="50">
                  <c:v>105.96813062193006</c:v>
                </c:pt>
                <c:pt idx="51">
                  <c:v>115.8926965493647</c:v>
                </c:pt>
                <c:pt idx="52">
                  <c:v>123.73561073741602</c:v>
                </c:pt>
                <c:pt idx="53">
                  <c:v>126.72496714858443</c:v>
                </c:pt>
                <c:pt idx="54">
                  <c:v>124.67972994404587</c:v>
                </c:pt>
                <c:pt idx="55">
                  <c:v>120.10608738527921</c:v>
                </c:pt>
                <c:pt idx="56">
                  <c:v>116.86234871365464</c:v>
                </c:pt>
                <c:pt idx="57">
                  <c:v>118.10358112686217</c:v>
                </c:pt>
                <c:pt idx="58">
                  <c:v>124.6008598646083</c:v>
                </c:pt>
                <c:pt idx="59">
                  <c:v>134.33045143685183</c:v>
                </c:pt>
                <c:pt idx="60">
                  <c:v>143.55176822880739</c:v>
                </c:pt>
                <c:pt idx="61">
                  <c:v>148.79987778501268</c:v>
                </c:pt>
                <c:pt idx="62">
                  <c:v>148.7311751419054</c:v>
                </c:pt>
                <c:pt idx="63">
                  <c:v>144.83904529014856</c:v>
                </c:pt>
                <c:pt idx="64">
                  <c:v>140.65828880928123</c:v>
                </c:pt>
                <c:pt idx="65">
                  <c:v>139.8821058029996</c:v>
                </c:pt>
                <c:pt idx="66">
                  <c:v>144.3947035474385</c:v>
                </c:pt>
                <c:pt idx="67">
                  <c:v>153.26753974824209</c:v>
                </c:pt>
                <c:pt idx="68">
                  <c:v>163.25389340305802</c:v>
                </c:pt>
                <c:pt idx="69">
                  <c:v>170.51830981474987</c:v>
                </c:pt>
                <c:pt idx="70">
                  <c:v>172.67966010246582</c:v>
                </c:pt>
                <c:pt idx="71">
                  <c:v>170.07949597725229</c:v>
                </c:pt>
                <c:pt idx="72">
                  <c:v>165.60005870181487</c:v>
                </c:pt>
                <c:pt idx="73">
                  <c:v>163.12888715033711</c:v>
                </c:pt>
                <c:pt idx="74">
                  <c:v>165.4879142075273</c:v>
                </c:pt>
                <c:pt idx="75">
                  <c:v>172.9302029283472</c:v>
                </c:pt>
                <c:pt idx="76">
                  <c:v>183.0050973565501</c:v>
                </c:pt>
                <c:pt idx="77">
                  <c:v>191.86362088969585</c:v>
                </c:pt>
                <c:pt idx="78">
                  <c:v>196.30874834286755</c:v>
                </c:pt>
                <c:pt idx="79">
                  <c:v>195.49839043699217</c:v>
                </c:pt>
                <c:pt idx="80">
                  <c:v>191.39392636474685</c:v>
                </c:pt>
                <c:pt idx="81">
                  <c:v>187.71535519109969</c:v>
                </c:pt>
                <c:pt idx="82">
                  <c:v>187.95964737893141</c:v>
                </c:pt>
                <c:pt idx="83">
                  <c:v>193.53790248436124</c:v>
                </c:pt>
                <c:pt idx="84">
                  <c:v>203.02363210439421</c:v>
                </c:pt>
                <c:pt idx="85">
                  <c:v>212.91260086900405</c:v>
                </c:pt>
                <c:pt idx="86">
                  <c:v>219.48946508152733</c:v>
                </c:pt>
                <c:pt idx="87">
                  <c:v>220.8068675958001</c:v>
                </c:pt>
                <c:pt idx="88">
                  <c:v>217.72274310754801</c:v>
                </c:pt>
                <c:pt idx="89">
                  <c:v>213.44327076469074</c:v>
                </c:pt>
                <c:pt idx="90">
                  <c:v>211.81493905171453</c:v>
                </c:pt>
                <c:pt idx="91">
                  <c:v>215.27552439134632</c:v>
                </c:pt>
                <c:pt idx="92">
                  <c:v>223.55547846105702</c:v>
                </c:pt>
                <c:pt idx="93">
                  <c:v>233.8214833416732</c:v>
                </c:pt>
                <c:pt idx="94">
                  <c:v>242.18570396021451</c:v>
                </c:pt>
                <c:pt idx="95">
                  <c:v>245.77677279215783</c:v>
                </c:pt>
                <c:pt idx="96">
                  <c:v>244.26931213574221</c:v>
                </c:pt>
                <c:pt idx="97">
                  <c:v>240.05723137053778</c:v>
                </c:pt>
                <c:pt idx="98">
                  <c:v>236.97848531445302</c:v>
                </c:pt>
                <c:pt idx="99">
                  <c:v>238.27060326063764</c:v>
                </c:pt>
                <c:pt idx="100">
                  <c:v>244.84605972216303</c:v>
                </c:pt>
                <c:pt idx="101">
                  <c:v>254.80618115116474</c:v>
                </c:pt>
                <c:pt idx="102">
                  <c:v>264.45252607772545</c:v>
                </c:pt>
                <c:pt idx="103">
                  <c:v>270.25698567593315</c:v>
                </c:pt>
                <c:pt idx="104">
                  <c:v>270.74115013407379</c:v>
                </c:pt>
                <c:pt idx="105">
                  <c:v>267.26381948531775</c:v>
                </c:pt>
                <c:pt idx="106">
                  <c:v>263.29715904717983</c:v>
                </c:pt>
                <c:pt idx="107">
                  <c:v>262.57708485664369</c:v>
                </c:pt>
                <c:pt idx="108">
                  <c:v>267.11315190572611</c:v>
                </c:pt>
                <c:pt idx="109">
                  <c:v>276.1180595602122</c:v>
                </c:pt>
                <c:pt idx="110">
                  <c:v>286.42701685512714</c:v>
                </c:pt>
                <c:pt idx="111">
                  <c:v>294.18357558749466</c:v>
                </c:pt>
                <c:pt idx="112">
                  <c:v>296.8939032779565</c:v>
                </c:pt>
                <c:pt idx="113">
                  <c:v>294.75520351403179</c:v>
                </c:pt>
                <c:pt idx="114">
                  <c:v>290.55064626037813</c:v>
                </c:pt>
                <c:pt idx="115">
                  <c:v>288.16677779328296</c:v>
                </c:pt>
                <c:pt idx="116">
                  <c:v>290.52317246231723</c:v>
                </c:pt>
                <c:pt idx="117">
                  <c:v>298.01718190250278</c:v>
                </c:pt>
                <c:pt idx="118">
                  <c:v>308.31224960480677</c:v>
                </c:pt>
                <c:pt idx="119">
                  <c:v>317.58255373583586</c:v>
                </c:pt>
                <c:pt idx="120">
                  <c:v>322.55096831671864</c:v>
                </c:pt>
                <c:pt idx="121">
                  <c:v>322.23473941408054</c:v>
                </c:pt>
                <c:pt idx="122">
                  <c:v>318.46897054453814</c:v>
                </c:pt>
                <c:pt idx="123">
                  <c:v>314.92906138376179</c:v>
                </c:pt>
                <c:pt idx="124">
                  <c:v>315.17283776100197</c:v>
                </c:pt>
                <c:pt idx="125">
                  <c:v>320.74531243507602</c:v>
                </c:pt>
                <c:pt idx="126">
                  <c:v>330.3556533017092</c:v>
                </c:pt>
                <c:pt idx="127">
                  <c:v>340.56478055883036</c:v>
                </c:pt>
                <c:pt idx="128">
                  <c:v>347.6173160830005</c:v>
                </c:pt>
                <c:pt idx="129">
                  <c:v>349.44202228040973</c:v>
                </c:pt>
                <c:pt idx="130">
                  <c:v>346.75511486904134</c:v>
                </c:pt>
                <c:pt idx="131">
                  <c:v>342.67872492660649</c:v>
                </c:pt>
                <c:pt idx="132">
                  <c:v>341.0777519878543</c:v>
                </c:pt>
                <c:pt idx="133">
                  <c:v>344.50105137868985</c:v>
                </c:pt>
                <c:pt idx="134">
                  <c:v>352.82366651946205</c:v>
                </c:pt>
                <c:pt idx="135">
                  <c:v>363.31337666622187</c:v>
                </c:pt>
                <c:pt idx="136">
                  <c:v>372.08611071043231</c:v>
                </c:pt>
                <c:pt idx="137">
                  <c:v>376.17494137059867</c:v>
                </c:pt>
                <c:pt idx="138">
                  <c:v>375.11052542856856</c:v>
                </c:pt>
                <c:pt idx="139">
                  <c:v>371.17110390128664</c:v>
                </c:pt>
                <c:pt idx="140">
                  <c:v>368.16888933178592</c:v>
                </c:pt>
                <c:pt idx="141">
                  <c:v>369.4193206211898</c:v>
                </c:pt>
                <c:pt idx="142">
                  <c:v>375.97494483483888</c:v>
                </c:pt>
                <c:pt idx="143">
                  <c:v>386.06472103920146</c:v>
                </c:pt>
                <c:pt idx="144">
                  <c:v>396.03742390020813</c:v>
                </c:pt>
                <c:pt idx="145">
                  <c:v>402.30660454376635</c:v>
                </c:pt>
                <c:pt idx="146">
                  <c:v>403.26104575659775</c:v>
                </c:pt>
                <c:pt idx="147">
                  <c:v>400.123029456121</c:v>
                </c:pt>
                <c:pt idx="148">
                  <c:v>396.29722516983196</c:v>
                </c:pt>
                <c:pt idx="149">
                  <c:v>395.55704069182883</c:v>
                </c:pt>
                <c:pt idx="150">
                  <c:v>400.03454938388614</c:v>
                </c:pt>
                <c:pt idx="151">
                  <c:v>409.08474151915203</c:v>
                </c:pt>
                <c:pt idx="152">
                  <c:v>419.62910262025645</c:v>
                </c:pt>
                <c:pt idx="153">
                  <c:v>427.79549774069562</c:v>
                </c:pt>
                <c:pt idx="154">
                  <c:v>430.98081028073608</c:v>
                </c:pt>
                <c:pt idx="155">
                  <c:v>429.23758644285067</c:v>
                </c:pt>
                <c:pt idx="156">
                  <c:v>425.24603246459105</c:v>
                </c:pt>
                <c:pt idx="157">
                  <c:v>422.88628144510005</c:v>
                </c:pt>
                <c:pt idx="158">
                  <c:v>425.17147020777276</c:v>
                </c:pt>
                <c:pt idx="159">
                  <c:v>432.64265730792459</c:v>
                </c:pt>
                <c:pt idx="160">
                  <c:v>443.08059472702377</c:v>
                </c:pt>
                <c:pt idx="161">
                  <c:v>452.68788984190195</c:v>
                </c:pt>
                <c:pt idx="162">
                  <c:v>458.11183076336499</c:v>
                </c:pt>
                <c:pt idx="163">
                  <c:v>458.23033442607209</c:v>
                </c:pt>
                <c:pt idx="164">
                  <c:v>454.74965916238818</c:v>
                </c:pt>
                <c:pt idx="165">
                  <c:v>451.29548571933015</c:v>
                </c:pt>
                <c:pt idx="166">
                  <c:v>451.48153957228391</c:v>
                </c:pt>
                <c:pt idx="167">
                  <c:v>456.98458181875282</c:v>
                </c:pt>
                <c:pt idx="168">
                  <c:v>466.65120345094243</c:v>
                </c:pt>
                <c:pt idx="169">
                  <c:v>477.11222555296411</c:v>
                </c:pt>
                <c:pt idx="170">
                  <c:v>484.57742003718545</c:v>
                </c:pt>
                <c:pt idx="171">
                  <c:v>486.85451954396927</c:v>
                </c:pt>
                <c:pt idx="172">
                  <c:v>484.5170083365764</c:v>
                </c:pt>
                <c:pt idx="173">
                  <c:v>480.59862262642883</c:v>
                </c:pt>
                <c:pt idx="174">
                  <c:v>478.97729721853477</c:v>
                </c:pt>
                <c:pt idx="175">
                  <c:v>482.30941536397506</c:v>
                </c:pt>
                <c:pt idx="176">
                  <c:v>490.61476808808823</c:v>
                </c:pt>
                <c:pt idx="177">
                  <c:v>501.2660022579214</c:v>
                </c:pt>
                <c:pt idx="178">
                  <c:v>510.38817830544394</c:v>
                </c:pt>
                <c:pt idx="179">
                  <c:v>514.92290596573446</c:v>
                </c:pt>
                <c:pt idx="180">
                  <c:v>514.25751173931837</c:v>
                </c:pt>
                <c:pt idx="181">
                  <c:v>510.55139542303982</c:v>
                </c:pt>
                <c:pt idx="182">
                  <c:v>507.58572855940497</c:v>
                </c:pt>
                <c:pt idx="183">
                  <c:v>508.74924995181578</c:v>
                </c:pt>
                <c:pt idx="184">
                  <c:v>515.23310661001415</c:v>
                </c:pt>
                <c:pt idx="185">
                  <c:v>525.39633189526944</c:v>
                </c:pt>
                <c:pt idx="186">
                  <c:v>535.63996487115696</c:v>
                </c:pt>
                <c:pt idx="187">
                  <c:v>542.32417544975488</c:v>
                </c:pt>
                <c:pt idx="188">
                  <c:v>543.70716024489866</c:v>
                </c:pt>
                <c:pt idx="189">
                  <c:v>540.8729769869725</c:v>
                </c:pt>
                <c:pt idx="190">
                  <c:v>537.15406856426205</c:v>
                </c:pt>
                <c:pt idx="191">
                  <c:v>536.35609286805368</c:v>
                </c:pt>
                <c:pt idx="192">
                  <c:v>540.73067539773263</c:v>
                </c:pt>
                <c:pt idx="193">
                  <c:v>549.77598082976817</c:v>
                </c:pt>
                <c:pt idx="194">
                  <c:v>560.50402813956043</c:v>
                </c:pt>
                <c:pt idx="195">
                  <c:v>569.03235294674369</c:v>
                </c:pt>
                <c:pt idx="196">
                  <c:v>572.6521530625779</c:v>
                </c:pt>
                <c:pt idx="197">
                  <c:v>571.27123496040315</c:v>
                </c:pt>
                <c:pt idx="198">
                  <c:v>567.46311673852449</c:v>
                </c:pt>
                <c:pt idx="199">
                  <c:v>565.09613087386992</c:v>
                </c:pt>
                <c:pt idx="200">
                  <c:v>567.2727912301757</c:v>
                </c:pt>
              </c:numCache>
            </c:numRef>
          </c:yVal>
          <c:smooth val="1"/>
        </c:ser>
        <c:axId val="70745472"/>
        <c:axId val="70748032"/>
      </c:scatterChart>
      <c:valAx>
        <c:axId val="70745472"/>
        <c:scaling>
          <c:orientation val="minMax"/>
        </c:scaling>
        <c:axPos val="b"/>
        <c:majorGridlines>
          <c:spPr>
            <a:ln>
              <a:solidFill>
                <a:schemeClr val="bg1">
                  <a:lumMod val="85000"/>
                </a:schemeClr>
              </a:solidFill>
            </a:ln>
          </c:spPr>
        </c:majorGridlines>
        <c:title>
          <c:tx>
            <c:strRef>
              <c:f>Data!$F$7</c:f>
              <c:strCache>
                <c:ptCount val="1"/>
                <c:pt idx="0">
                  <c:v>X axis</c:v>
                </c:pt>
              </c:strCache>
            </c:strRef>
          </c:tx>
          <c:layout>
            <c:manualLayout>
              <c:xMode val="edge"/>
              <c:yMode val="edge"/>
              <c:x val="0.45686283511139081"/>
              <c:y val="0.92748480274162626"/>
            </c:manualLayout>
          </c:layout>
        </c:title>
        <c:numFmt formatCode="General" sourceLinked="1"/>
        <c:tickLblPos val="nextTo"/>
        <c:crossAx val="70748032"/>
        <c:crosses val="autoZero"/>
        <c:crossBetween val="midCat"/>
      </c:valAx>
      <c:valAx>
        <c:axId val="70748032"/>
        <c:scaling>
          <c:orientation val="minMax"/>
        </c:scaling>
        <c:axPos val="l"/>
        <c:majorGridlines>
          <c:spPr>
            <a:ln>
              <a:solidFill>
                <a:schemeClr val="bg1">
                  <a:lumMod val="85000"/>
                </a:schemeClr>
              </a:solidFill>
            </a:ln>
          </c:spPr>
        </c:majorGridlines>
        <c:title>
          <c:tx>
            <c:strRef>
              <c:f>Data!$F$8</c:f>
              <c:strCache>
                <c:ptCount val="1"/>
                <c:pt idx="0">
                  <c:v>Y axis</c:v>
                </c:pt>
              </c:strCache>
            </c:strRef>
          </c:tx>
          <c:txPr>
            <a:bodyPr rot="-5400000" vert="horz"/>
            <a:lstStyle/>
            <a:p>
              <a:pPr>
                <a:defRPr/>
              </a:pPr>
              <a:endParaRPr lang="en-US"/>
            </a:p>
          </c:txPr>
        </c:title>
        <c:numFmt formatCode="General" sourceLinked="1"/>
        <c:tickLblPos val="nextTo"/>
        <c:crossAx val="70745472"/>
        <c:crosses val="autoZero"/>
        <c:crossBetween val="midCat"/>
      </c:valAx>
    </c:plotArea>
    <c:legend>
      <c:legendPos val="b"/>
      <c:layout>
        <c:manualLayout>
          <c:xMode val="edge"/>
          <c:yMode val="edge"/>
          <c:x val="0.74220013372853555"/>
          <c:y val="7.0525342363292665E-2"/>
          <c:w val="0.20845027431360058"/>
          <c:h val="6.2462567826690338E-2"/>
        </c:manualLayout>
      </c:layout>
    </c:legend>
    <c:plotVisOnly val="1"/>
  </c:chart>
  <c:spPr>
    <a:ln>
      <a:noFill/>
    </a:ln>
  </c:spPr>
  <c:printSettings>
    <c:headerFooter/>
    <c:pageMargins b="0.75000000000000644" l="0.70000000000000062" r="0.70000000000000062" t="0.75000000000000644"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mailto:roger@excelworks.co.uk?subject=Mortgage%20Calculator%20with%20Comparator"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323850</xdr:colOff>
      <xdr:row>43</xdr:row>
      <xdr:rowOff>190500</xdr:rowOff>
    </xdr:from>
    <xdr:to>
      <xdr:col>16384</xdr:col>
      <xdr:colOff>609600</xdr:colOff>
      <xdr:row>43</xdr:row>
      <xdr:rowOff>190500</xdr:rowOff>
    </xdr:to>
    <xdr:sp macro="" textlink="">
      <xdr:nvSpPr>
        <xdr:cNvPr id="2" name="lnkExcelWorksMail">
          <a:hlinkClick xmlns:r="http://schemas.openxmlformats.org/officeDocument/2006/relationships" r:id="rId1" tooltip="Send email to roger@excelworks.co.uk"/>
        </xdr:cNvPr>
        <xdr:cNvSpPr txBox="1">
          <a:spLocks noChangeArrowheads="1"/>
        </xdr:cNvSpPr>
      </xdr:nvSpPr>
      <xdr:spPr bwMode="auto">
        <a:xfrm>
          <a:off x="3924300" y="8620125"/>
          <a:ext cx="1619250" cy="180975"/>
        </a:xfrm>
        <a:prstGeom prst="rect">
          <a:avLst/>
        </a:prstGeom>
        <a:noFill/>
        <a:ln w="9525">
          <a:noFill/>
          <a:miter lim="800000"/>
          <a:headEnd/>
          <a:tailEnd/>
        </a:ln>
      </xdr:spPr>
    </xdr:sp>
    <xdr:clientData fPrintsWithSheet="0"/>
  </xdr:twoCellAnchor>
  <xdr:twoCellAnchor editAs="oneCell">
    <xdr:from>
      <xdr:col>3</xdr:col>
      <xdr:colOff>133350</xdr:colOff>
      <xdr:row>1</xdr:row>
      <xdr:rowOff>57150</xdr:rowOff>
    </xdr:from>
    <xdr:to>
      <xdr:col>4</xdr:col>
      <xdr:colOff>437245</xdr:colOff>
      <xdr:row>3</xdr:row>
      <xdr:rowOff>108150</xdr:rowOff>
    </xdr:to>
    <xdr:pic>
      <xdr:nvPicPr>
        <xdr:cNvPr id="4" name="Immagine 3" descr="Logo - v2 - MD.png"/>
        <xdr:cNvPicPr>
          <a:picLocks noChangeAspect="1"/>
        </xdr:cNvPicPr>
      </xdr:nvPicPr>
      <xdr:blipFill>
        <a:blip xmlns:r="http://schemas.openxmlformats.org/officeDocument/2006/relationships" r:embed="rId2" cstate="print"/>
        <a:stretch>
          <a:fillRect/>
        </a:stretch>
      </xdr:blipFill>
      <xdr:spPr>
        <a:xfrm>
          <a:off x="3390900" y="247650"/>
          <a:ext cx="580120" cy="43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133350</xdr:colOff>
      <xdr:row>1</xdr:row>
      <xdr:rowOff>57150</xdr:rowOff>
    </xdr:from>
    <xdr:to>
      <xdr:col>4</xdr:col>
      <xdr:colOff>446770</xdr:colOff>
      <xdr:row>3</xdr:row>
      <xdr:rowOff>108150</xdr:rowOff>
    </xdr:to>
    <xdr:pic>
      <xdr:nvPicPr>
        <xdr:cNvPr id="2" name="Immagine 1" descr="Logo - v2 - MD.png"/>
        <xdr:cNvPicPr>
          <a:picLocks noChangeAspect="1"/>
        </xdr:cNvPicPr>
      </xdr:nvPicPr>
      <xdr:blipFill>
        <a:blip xmlns:r="http://schemas.openxmlformats.org/officeDocument/2006/relationships" r:embed="rId1" cstate="print"/>
        <a:stretch>
          <a:fillRect/>
        </a:stretch>
      </xdr:blipFill>
      <xdr:spPr>
        <a:xfrm>
          <a:off x="3390900" y="247650"/>
          <a:ext cx="580120" cy="432000"/>
        </a:xfrm>
        <a:prstGeom prst="rect">
          <a:avLst/>
        </a:prstGeom>
      </xdr:spPr>
    </xdr:pic>
    <xdr:clientData/>
  </xdr:twoCellAnchor>
  <xdr:twoCellAnchor>
    <xdr:from>
      <xdr:col>9</xdr:col>
      <xdr:colOff>447674</xdr:colOff>
      <xdr:row>4</xdr:row>
      <xdr:rowOff>171450</xdr:rowOff>
    </xdr:from>
    <xdr:to>
      <xdr:col>22</xdr:col>
      <xdr:colOff>514349</xdr:colOff>
      <xdr:row>24</xdr:row>
      <xdr:rowOff>38100</xdr:rowOff>
    </xdr:to>
    <xdr:graphicFrame macro="">
      <xdr:nvGraphicFramePr>
        <xdr:cNvPr id="4" name="Gra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247649</xdr:colOff>
      <xdr:row>5</xdr:row>
      <xdr:rowOff>76200</xdr:rowOff>
    </xdr:from>
    <xdr:to>
      <xdr:col>9</xdr:col>
      <xdr:colOff>400049</xdr:colOff>
      <xdr:row>8</xdr:row>
      <xdr:rowOff>38100</xdr:rowOff>
    </xdr:to>
    <xdr:sp macro="" textlink="">
      <xdr:nvSpPr>
        <xdr:cNvPr id="5" name="Callout 1 4"/>
        <xdr:cNvSpPr/>
      </xdr:nvSpPr>
      <xdr:spPr>
        <a:xfrm>
          <a:off x="5629274" y="1028700"/>
          <a:ext cx="1914525" cy="533400"/>
        </a:xfrm>
        <a:prstGeom prst="borderCallout1">
          <a:avLst>
            <a:gd name="adj1" fmla="val 45833"/>
            <a:gd name="adj2" fmla="val -406"/>
            <a:gd name="adj3" fmla="val 46417"/>
            <a:gd name="adj4" fmla="val -17198"/>
          </a:avLst>
        </a:prstGeom>
        <a:ln>
          <a:solidFill>
            <a:srgbClr val="00BA60"/>
          </a:solidFill>
          <a:headEnd type="none"/>
          <a:tailEnd type="triangle"/>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r>
            <a:rPr lang="en-GB" sz="900" b="1"/>
            <a:t>Modify the text in yellow</a:t>
          </a:r>
          <a:r>
            <a:rPr lang="en-GB" sz="900" b="1" baseline="0"/>
            <a:t> to update the chart titles automatically.</a:t>
          </a:r>
        </a:p>
        <a:p>
          <a:pPr algn="ctr"/>
          <a:r>
            <a:rPr lang="en-GB" sz="800" baseline="0"/>
            <a:t>(this window can be cancelled)</a:t>
          </a:r>
          <a:endParaRPr lang="en-GB" sz="900"/>
        </a:p>
      </xdr:txBody>
    </xdr:sp>
    <xdr:clientData/>
  </xdr:twoCellAnchor>
  <xdr:twoCellAnchor>
    <xdr:from>
      <xdr:col>9</xdr:col>
      <xdr:colOff>390524</xdr:colOff>
      <xdr:row>23</xdr:row>
      <xdr:rowOff>19050</xdr:rowOff>
    </xdr:from>
    <xdr:to>
      <xdr:col>12</xdr:col>
      <xdr:colOff>342899</xdr:colOff>
      <xdr:row>25</xdr:row>
      <xdr:rowOff>171450</xdr:rowOff>
    </xdr:to>
    <xdr:sp macro="" textlink="">
      <xdr:nvSpPr>
        <xdr:cNvPr id="6" name="Callout 1 5"/>
        <xdr:cNvSpPr/>
      </xdr:nvSpPr>
      <xdr:spPr>
        <a:xfrm>
          <a:off x="4276724" y="4210050"/>
          <a:ext cx="1914525" cy="533400"/>
        </a:xfrm>
        <a:prstGeom prst="borderCallout1">
          <a:avLst>
            <a:gd name="adj1" fmla="val 45833"/>
            <a:gd name="adj2" fmla="val -406"/>
            <a:gd name="adj3" fmla="val 46417"/>
            <a:gd name="adj4" fmla="val -17198"/>
          </a:avLst>
        </a:prstGeom>
        <a:ln>
          <a:solidFill>
            <a:srgbClr val="00BA60"/>
          </a:solidFill>
          <a:headEnd type="none"/>
          <a:tailEnd type="triangle"/>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r>
            <a:rPr lang="en-GB" sz="900" b="1"/>
            <a:t>This data is an</a:t>
          </a:r>
          <a:r>
            <a:rPr lang="en-GB" sz="900" b="1" baseline="0"/>
            <a:t> example and can be deleted/modified.</a:t>
          </a:r>
        </a:p>
        <a:p>
          <a:pPr algn="ctr"/>
          <a:r>
            <a:rPr lang="en-GB" sz="800" baseline="0"/>
            <a:t>(this window can be cancelled)</a:t>
          </a:r>
          <a:endParaRPr lang="en-GB" sz="9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133350</xdr:colOff>
      <xdr:row>1</xdr:row>
      <xdr:rowOff>57150</xdr:rowOff>
    </xdr:from>
    <xdr:to>
      <xdr:col>4</xdr:col>
      <xdr:colOff>446771</xdr:colOff>
      <xdr:row>3</xdr:row>
      <xdr:rowOff>108149</xdr:rowOff>
    </xdr:to>
    <xdr:pic>
      <xdr:nvPicPr>
        <xdr:cNvPr id="2" name="Immagine 1" descr="Logo - v2 - MD.png"/>
        <xdr:cNvPicPr>
          <a:picLocks noChangeAspect="1"/>
        </xdr:cNvPicPr>
      </xdr:nvPicPr>
      <xdr:blipFill>
        <a:blip xmlns:r="http://schemas.openxmlformats.org/officeDocument/2006/relationships" r:embed="rId1" cstate="print"/>
        <a:stretch>
          <a:fillRect/>
        </a:stretch>
      </xdr:blipFill>
      <xdr:spPr>
        <a:xfrm>
          <a:off x="3390900" y="247650"/>
          <a:ext cx="580120" cy="432000"/>
        </a:xfrm>
        <a:prstGeom prst="rect">
          <a:avLst/>
        </a:prstGeom>
      </xdr:spPr>
    </xdr:pic>
    <xdr:clientData/>
  </xdr:twoCellAnchor>
  <xdr:twoCellAnchor>
    <xdr:from>
      <xdr:col>4</xdr:col>
      <xdr:colOff>76200</xdr:colOff>
      <xdr:row>4</xdr:row>
      <xdr:rowOff>171450</xdr:rowOff>
    </xdr:from>
    <xdr:to>
      <xdr:col>9</xdr:col>
      <xdr:colOff>171450</xdr:colOff>
      <xdr:row>10</xdr:row>
      <xdr:rowOff>171450</xdr:rowOff>
    </xdr:to>
    <xdr:sp macro="" textlink="">
      <xdr:nvSpPr>
        <xdr:cNvPr id="5" name="Rettangolo 4"/>
        <xdr:cNvSpPr/>
      </xdr:nvSpPr>
      <xdr:spPr>
        <a:xfrm>
          <a:off x="3600450" y="933450"/>
          <a:ext cx="3714750" cy="1143000"/>
        </a:xfrm>
        <a:prstGeom prst="rect">
          <a:avLst/>
        </a:prstGeom>
        <a:ln>
          <a:solidFill>
            <a:srgbClr val="00BA60"/>
          </a:solidFill>
          <a:headEnd type="none"/>
          <a:tailEnd type="triangle"/>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r>
            <a:rPr lang="en-GB" sz="1100" b="1">
              <a:solidFill>
                <a:schemeClr val="dk1"/>
              </a:solidFill>
              <a:latin typeface="+mn-lt"/>
              <a:ea typeface="+mn-ea"/>
              <a:cs typeface="+mn-cs"/>
            </a:rPr>
            <a:t>This page can be used for doing other plots or working on different data.</a:t>
          </a:r>
          <a:endParaRPr lang="en-GB" sz="900"/>
        </a:p>
        <a:p>
          <a:pPr algn="ctr"/>
          <a:r>
            <a:rPr lang="en-GB" sz="1100" baseline="0">
              <a:solidFill>
                <a:schemeClr val="dk1"/>
              </a:solidFill>
              <a:latin typeface="+mn-lt"/>
              <a:ea typeface="+mn-ea"/>
              <a:cs typeface="+mn-cs"/>
            </a:rPr>
            <a:t>(this window can be cancelled)</a:t>
          </a:r>
          <a:endParaRPr lang="en-GB" sz="110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133350</xdr:colOff>
      <xdr:row>1</xdr:row>
      <xdr:rowOff>57150</xdr:rowOff>
    </xdr:from>
    <xdr:to>
      <xdr:col>4</xdr:col>
      <xdr:colOff>27670</xdr:colOff>
      <xdr:row>3</xdr:row>
      <xdr:rowOff>108150</xdr:rowOff>
    </xdr:to>
    <xdr:pic>
      <xdr:nvPicPr>
        <xdr:cNvPr id="3" name="Immagine 2" descr="Logo - v2 - MD.png"/>
        <xdr:cNvPicPr>
          <a:picLocks noChangeAspect="1"/>
        </xdr:cNvPicPr>
      </xdr:nvPicPr>
      <xdr:blipFill>
        <a:blip xmlns:r="http://schemas.openxmlformats.org/officeDocument/2006/relationships" r:embed="rId1" cstate="print"/>
        <a:stretch>
          <a:fillRect/>
        </a:stretch>
      </xdr:blipFill>
      <xdr:spPr>
        <a:xfrm>
          <a:off x="3390900" y="247650"/>
          <a:ext cx="580120" cy="43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133350</xdr:colOff>
      <xdr:row>1</xdr:row>
      <xdr:rowOff>57150</xdr:rowOff>
    </xdr:from>
    <xdr:to>
      <xdr:col>4</xdr:col>
      <xdr:colOff>27670</xdr:colOff>
      <xdr:row>3</xdr:row>
      <xdr:rowOff>108150</xdr:rowOff>
    </xdr:to>
    <xdr:pic>
      <xdr:nvPicPr>
        <xdr:cNvPr id="2" name="Immagine 1" descr="Logo - v2 - MD.png"/>
        <xdr:cNvPicPr>
          <a:picLocks noChangeAspect="1"/>
        </xdr:cNvPicPr>
      </xdr:nvPicPr>
      <xdr:blipFill>
        <a:blip xmlns:r="http://schemas.openxmlformats.org/officeDocument/2006/relationships" r:embed="rId1" cstate="print"/>
        <a:stretch>
          <a:fillRect/>
        </a:stretch>
      </xdr:blipFill>
      <xdr:spPr>
        <a:xfrm>
          <a:off x="3390900" y="247650"/>
          <a:ext cx="580120" cy="432000"/>
        </a:xfrm>
        <a:prstGeom prst="rect">
          <a:avLst/>
        </a:prstGeom>
      </xdr:spPr>
    </xdr:pic>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sheetPr codeName="ShtHome">
    <tabColor rgb="FF00B050"/>
  </sheetPr>
  <dimension ref="A1:P74"/>
  <sheetViews>
    <sheetView showGridLines="0" showRowColHeaders="0" tabSelected="1" workbookViewId="0">
      <pane ySplit="4" topLeftCell="A5" activePane="bottomLeft" state="frozen"/>
      <selection pane="bottomLeft" activeCell="E42" sqref="E42"/>
    </sheetView>
  </sheetViews>
  <sheetFormatPr defaultColWidth="0" defaultRowHeight="15" zeroHeight="1"/>
  <cols>
    <col min="1" max="1" width="24" style="1" hidden="1" customWidth="1"/>
    <col min="2" max="2" width="15.7109375" style="14" hidden="1" customWidth="1"/>
    <col min="3" max="3" width="9.140625" style="3" hidden="1" customWidth="1"/>
    <col min="4" max="4" width="4.140625" style="36" customWidth="1"/>
    <col min="5" max="5" width="46.42578125" style="48" customWidth="1"/>
    <col min="6" max="6" width="47.42578125" style="48" customWidth="1"/>
    <col min="7" max="7" width="4.140625" style="41" customWidth="1"/>
    <col min="8" max="14" width="9.85546875" style="41" hidden="1"/>
    <col min="15" max="16" width="9.140625" style="36" hidden="1"/>
    <col min="17" max="16384" width="9.140625" style="1" hidden="1"/>
  </cols>
  <sheetData>
    <row r="1" spans="1:16" s="3" customFormat="1" hidden="1">
      <c r="A1" s="10" t="s">
        <v>10</v>
      </c>
      <c r="B1" s="11"/>
      <c r="C1" s="3" t="s">
        <v>7</v>
      </c>
      <c r="D1" s="37"/>
      <c r="E1" s="47"/>
      <c r="F1" s="47"/>
      <c r="G1" s="43"/>
      <c r="H1" s="57" t="s">
        <v>80</v>
      </c>
      <c r="I1" s="43"/>
      <c r="J1" s="43"/>
      <c r="K1" s="43"/>
      <c r="L1" s="43"/>
      <c r="M1" s="43"/>
      <c r="N1" s="43"/>
      <c r="O1" s="37"/>
      <c r="P1" s="37"/>
    </row>
    <row r="2" spans="1:16">
      <c r="A2" s="8" t="s">
        <v>0</v>
      </c>
      <c r="B2" s="12" t="s">
        <v>11</v>
      </c>
      <c r="D2" s="86"/>
      <c r="E2" s="86"/>
      <c r="F2" s="87" t="s">
        <v>71</v>
      </c>
      <c r="G2" s="86"/>
    </row>
    <row r="3" spans="1:16">
      <c r="A3" s="8" t="s">
        <v>8</v>
      </c>
      <c r="B3" s="12" t="b">
        <v>1</v>
      </c>
      <c r="D3" s="86"/>
      <c r="E3" s="86"/>
      <c r="F3" s="87" t="s">
        <v>72</v>
      </c>
      <c r="G3" s="86"/>
    </row>
    <row r="4" spans="1:16">
      <c r="A4" s="8" t="s">
        <v>2</v>
      </c>
      <c r="B4" s="12" t="b">
        <v>0</v>
      </c>
      <c r="D4" s="86"/>
      <c r="E4" s="86"/>
      <c r="F4" s="87" t="s">
        <v>73</v>
      </c>
      <c r="G4" s="86"/>
    </row>
    <row r="5" spans="1:16" ht="15.75" thickBot="1">
      <c r="A5" s="8" t="s">
        <v>6</v>
      </c>
      <c r="B5" s="12" t="b">
        <v>0</v>
      </c>
      <c r="D5" s="58"/>
      <c r="G5" s="58"/>
      <c r="H5" s="58"/>
      <c r="I5" s="58"/>
      <c r="J5" s="58"/>
      <c r="K5" s="58"/>
      <c r="L5" s="58"/>
    </row>
    <row r="6" spans="1:16" ht="20.25" thickTop="1" thickBot="1">
      <c r="D6" s="58"/>
      <c r="E6" s="110" t="s">
        <v>95</v>
      </c>
      <c r="F6" s="110"/>
      <c r="G6" s="58"/>
      <c r="H6" s="58"/>
      <c r="I6" s="58"/>
      <c r="J6" s="58"/>
      <c r="K6" s="58"/>
      <c r="L6" s="58"/>
    </row>
    <row r="7" spans="1:16" s="42" customFormat="1" ht="15.75" thickTop="1">
      <c r="A7" s="10" t="s">
        <v>29</v>
      </c>
      <c r="B7" s="11"/>
      <c r="C7" s="6"/>
      <c r="D7" s="58"/>
      <c r="E7" s="48"/>
      <c r="F7" s="48"/>
      <c r="G7" s="58"/>
      <c r="H7" s="58"/>
      <c r="I7" s="58"/>
      <c r="J7" s="58"/>
      <c r="K7" s="58"/>
      <c r="L7" s="58"/>
      <c r="M7" s="45"/>
      <c r="N7" s="45"/>
      <c r="O7" s="40"/>
    </row>
    <row r="8" spans="1:16" ht="17.25">
      <c r="A8" s="33" t="s">
        <v>14</v>
      </c>
      <c r="B8" s="12" t="b">
        <v>1</v>
      </c>
      <c r="D8" s="58"/>
      <c r="E8" s="53" t="s">
        <v>50</v>
      </c>
      <c r="G8" s="58"/>
      <c r="H8" s="58"/>
      <c r="I8" s="58"/>
      <c r="J8" s="58"/>
      <c r="K8" s="58"/>
      <c r="L8" s="58"/>
      <c r="M8" s="45"/>
      <c r="N8" s="45"/>
      <c r="O8" s="45"/>
    </row>
    <row r="9" spans="1:16">
      <c r="A9" s="33" t="s">
        <v>15</v>
      </c>
      <c r="B9" s="12" t="b">
        <v>1</v>
      </c>
      <c r="D9" s="58"/>
      <c r="E9" s="52" t="s">
        <v>96</v>
      </c>
      <c r="G9" s="58"/>
      <c r="H9" s="58"/>
      <c r="I9" s="58"/>
      <c r="J9" s="58"/>
      <c r="K9" s="58"/>
      <c r="L9" s="58"/>
      <c r="M9" s="45"/>
      <c r="N9" s="45"/>
      <c r="O9" s="45"/>
    </row>
    <row r="10" spans="1:16">
      <c r="A10" s="33" t="s">
        <v>16</v>
      </c>
      <c r="B10" s="12" t="b">
        <v>1</v>
      </c>
      <c r="D10" s="58"/>
      <c r="G10" s="58"/>
      <c r="H10" s="58"/>
      <c r="I10" s="58"/>
      <c r="J10" s="58"/>
      <c r="K10" s="58"/>
      <c r="L10" s="58"/>
      <c r="M10" s="45"/>
      <c r="N10" s="45"/>
      <c r="O10" s="45"/>
    </row>
    <row r="11" spans="1:16" ht="17.25">
      <c r="A11" s="33" t="s">
        <v>17</v>
      </c>
      <c r="B11" s="12" t="b">
        <v>1</v>
      </c>
      <c r="D11" s="58"/>
      <c r="E11" s="53" t="s">
        <v>45</v>
      </c>
      <c r="F11" s="51"/>
      <c r="G11" s="58"/>
      <c r="H11" s="58"/>
      <c r="I11" s="58"/>
      <c r="J11" s="58"/>
      <c r="K11" s="58"/>
      <c r="L11" s="58"/>
      <c r="M11" s="45"/>
      <c r="N11" s="45"/>
      <c r="O11" s="45"/>
    </row>
    <row r="12" spans="1:16">
      <c r="A12" s="33" t="s">
        <v>18</v>
      </c>
      <c r="B12" s="12" t="b">
        <v>0</v>
      </c>
      <c r="D12" s="58"/>
      <c r="E12" s="59" t="s">
        <v>100</v>
      </c>
      <c r="F12" s="51"/>
      <c r="G12" s="58"/>
      <c r="H12" s="58"/>
      <c r="I12" s="58"/>
      <c r="J12" s="58"/>
      <c r="K12" s="58"/>
      <c r="L12" s="58"/>
      <c r="M12" s="45"/>
      <c r="N12" s="45"/>
      <c r="O12" s="45"/>
    </row>
    <row r="13" spans="1:16">
      <c r="A13" s="33"/>
      <c r="B13" s="12"/>
      <c r="D13" s="58"/>
      <c r="E13" s="60" t="s">
        <v>113</v>
      </c>
      <c r="F13" s="51"/>
      <c r="G13" s="58"/>
      <c r="H13" s="58"/>
      <c r="I13" s="58"/>
      <c r="J13" s="58"/>
      <c r="K13" s="58"/>
      <c r="L13" s="58"/>
      <c r="M13" s="45"/>
      <c r="N13" s="45"/>
      <c r="O13" s="45"/>
    </row>
    <row r="14" spans="1:16" ht="15" customHeight="1">
      <c r="A14" s="33" t="s">
        <v>19</v>
      </c>
      <c r="B14" s="12" t="b">
        <v>0</v>
      </c>
      <c r="D14" s="58"/>
      <c r="E14" s="59" t="s">
        <v>99</v>
      </c>
      <c r="F14" s="61"/>
      <c r="G14" s="58"/>
      <c r="H14" s="58"/>
      <c r="I14" s="58"/>
      <c r="J14" s="58"/>
      <c r="K14" s="58"/>
      <c r="L14" s="58"/>
      <c r="M14" s="45"/>
      <c r="N14" s="45"/>
      <c r="O14" s="45"/>
    </row>
    <row r="15" spans="1:16">
      <c r="A15" s="33" t="s">
        <v>20</v>
      </c>
      <c r="B15" s="12" t="b">
        <v>0</v>
      </c>
      <c r="D15" s="58"/>
      <c r="E15" s="60" t="s">
        <v>97</v>
      </c>
      <c r="F15" s="61"/>
      <c r="H15" s="58"/>
      <c r="I15" s="58"/>
      <c r="J15" s="58"/>
      <c r="K15" s="58"/>
      <c r="L15" s="58"/>
      <c r="M15" s="45"/>
      <c r="N15" s="45"/>
      <c r="O15" s="45"/>
    </row>
    <row r="16" spans="1:16">
      <c r="A16" s="33" t="s">
        <v>21</v>
      </c>
      <c r="B16" s="12" t="b">
        <v>0</v>
      </c>
      <c r="D16" s="58"/>
      <c r="E16" s="60" t="s">
        <v>98</v>
      </c>
      <c r="F16" s="61"/>
      <c r="G16" s="58"/>
      <c r="H16" s="58"/>
      <c r="I16" s="58"/>
      <c r="J16" s="58"/>
      <c r="K16" s="58"/>
      <c r="L16" s="58"/>
      <c r="M16" s="45"/>
      <c r="N16" s="45"/>
      <c r="O16" s="45"/>
    </row>
    <row r="17" spans="1:15">
      <c r="A17" s="33" t="s">
        <v>22</v>
      </c>
      <c r="B17" s="12" t="b">
        <v>0</v>
      </c>
      <c r="D17" s="58"/>
      <c r="E17" s="59" t="s">
        <v>101</v>
      </c>
      <c r="F17" s="61"/>
      <c r="G17" s="58"/>
      <c r="H17" s="58"/>
      <c r="I17" s="58"/>
      <c r="J17" s="58"/>
      <c r="K17" s="58"/>
      <c r="L17" s="58"/>
    </row>
    <row r="18" spans="1:15">
      <c r="A18" s="33" t="s">
        <v>23</v>
      </c>
      <c r="B18" s="12" t="b">
        <v>0</v>
      </c>
      <c r="D18" s="58"/>
      <c r="E18" s="60" t="s">
        <v>115</v>
      </c>
      <c r="F18" s="61"/>
      <c r="G18" s="58"/>
      <c r="H18" s="58"/>
      <c r="I18" s="58"/>
      <c r="J18" s="58"/>
      <c r="K18" s="58"/>
      <c r="L18" s="58"/>
      <c r="N18" s="45"/>
      <c r="O18" s="40"/>
    </row>
    <row r="19" spans="1:15">
      <c r="A19" s="33" t="s">
        <v>24</v>
      </c>
      <c r="B19" s="12" t="b">
        <v>0</v>
      </c>
      <c r="D19" s="58"/>
      <c r="E19" s="60" t="s">
        <v>102</v>
      </c>
      <c r="F19" s="61"/>
      <c r="G19" s="58"/>
      <c r="H19" s="58"/>
      <c r="I19" s="58"/>
      <c r="J19" s="58"/>
      <c r="K19" s="58"/>
      <c r="L19" s="58"/>
    </row>
    <row r="20" spans="1:15">
      <c r="A20" s="33" t="s">
        <v>25</v>
      </c>
      <c r="B20" s="12" t="b">
        <v>0</v>
      </c>
      <c r="D20" s="58"/>
      <c r="E20" s="59" t="s">
        <v>103</v>
      </c>
      <c r="F20" s="61"/>
      <c r="G20" s="58"/>
      <c r="H20" s="58"/>
      <c r="I20" s="58"/>
      <c r="J20" s="58"/>
      <c r="K20" s="58"/>
      <c r="L20" s="58"/>
      <c r="N20" s="58"/>
      <c r="O20" s="62"/>
    </row>
    <row r="21" spans="1:15" ht="15" customHeight="1">
      <c r="A21" s="33" t="s">
        <v>26</v>
      </c>
      <c r="B21" s="12" t="b">
        <v>0</v>
      </c>
      <c r="D21" s="58"/>
      <c r="E21" s="59" t="s">
        <v>104</v>
      </c>
      <c r="F21" s="61"/>
      <c r="G21" s="58"/>
      <c r="H21" s="58"/>
      <c r="I21" s="58"/>
      <c r="J21" s="58"/>
      <c r="K21" s="58"/>
      <c r="L21" s="58"/>
      <c r="N21" s="58"/>
      <c r="O21" s="62"/>
    </row>
    <row r="22" spans="1:15">
      <c r="A22" s="33" t="s">
        <v>27</v>
      </c>
      <c r="B22" s="12" t="b">
        <v>0</v>
      </c>
      <c r="D22" s="58"/>
      <c r="E22" s="60"/>
      <c r="F22" s="61"/>
      <c r="G22" s="58"/>
      <c r="H22" s="58"/>
      <c r="I22" s="58"/>
      <c r="J22" s="58"/>
      <c r="K22" s="58"/>
      <c r="L22" s="58"/>
      <c r="N22" s="58"/>
      <c r="O22" s="62"/>
    </row>
    <row r="23" spans="1:15" ht="18" thickBot="1">
      <c r="A23" s="33" t="s">
        <v>28</v>
      </c>
      <c r="B23" s="12" t="b">
        <v>0</v>
      </c>
      <c r="D23" s="58"/>
      <c r="E23" s="53" t="s">
        <v>52</v>
      </c>
      <c r="F23" s="63"/>
      <c r="G23" s="45"/>
      <c r="H23" s="45"/>
      <c r="I23" s="45"/>
      <c r="J23" s="45"/>
      <c r="K23" s="45"/>
      <c r="L23" s="45"/>
      <c r="M23" s="45"/>
      <c r="N23" s="45"/>
      <c r="O23" s="62"/>
    </row>
    <row r="24" spans="1:15" ht="16.5" thickTop="1" thickBot="1">
      <c r="A24" s="33" t="s">
        <v>67</v>
      </c>
      <c r="B24" s="12" t="b">
        <v>0</v>
      </c>
      <c r="D24" s="58"/>
      <c r="E24" s="64" t="s">
        <v>53</v>
      </c>
      <c r="F24" s="64" t="s">
        <v>54</v>
      </c>
      <c r="G24" s="45"/>
      <c r="H24" s="45"/>
      <c r="I24" s="45"/>
      <c r="J24" s="45"/>
      <c r="K24" s="45"/>
      <c r="L24" s="45"/>
      <c r="M24" s="45"/>
      <c r="N24" s="45"/>
      <c r="O24" s="38"/>
    </row>
    <row r="25" spans="1:15" ht="45.75" thickTop="1">
      <c r="D25" s="58"/>
      <c r="E25" s="65" t="s">
        <v>105</v>
      </c>
      <c r="F25" s="54" t="s">
        <v>117</v>
      </c>
      <c r="G25" s="45"/>
      <c r="H25" s="45"/>
      <c r="I25" s="45"/>
      <c r="J25" s="45"/>
      <c r="K25" s="45"/>
      <c r="L25" s="45"/>
      <c r="M25" s="45"/>
      <c r="N25" s="45"/>
      <c r="O25" s="40"/>
    </row>
    <row r="26" spans="1:15" ht="90">
      <c r="A26" s="10" t="s">
        <v>58</v>
      </c>
      <c r="B26" s="34"/>
      <c r="D26" s="58"/>
      <c r="E26" s="49" t="s">
        <v>106</v>
      </c>
      <c r="F26" s="49" t="s">
        <v>107</v>
      </c>
      <c r="G26" s="45"/>
      <c r="H26" s="45"/>
      <c r="I26" s="45"/>
      <c r="J26" s="45"/>
      <c r="K26" s="45"/>
      <c r="L26" s="45"/>
      <c r="M26" s="45"/>
      <c r="N26" s="45"/>
      <c r="O26" s="40"/>
    </row>
    <row r="27" spans="1:15" ht="75">
      <c r="A27" s="33" t="s">
        <v>59</v>
      </c>
      <c r="B27" s="35" t="b">
        <v>0</v>
      </c>
      <c r="D27" s="58"/>
      <c r="E27" s="55" t="s">
        <v>108</v>
      </c>
      <c r="F27" s="55" t="s">
        <v>109</v>
      </c>
      <c r="G27" s="45"/>
      <c r="H27" s="45"/>
      <c r="I27" s="45"/>
      <c r="J27" s="45"/>
      <c r="K27" s="45"/>
      <c r="L27" s="45"/>
      <c r="M27" s="45"/>
      <c r="N27" s="45"/>
      <c r="O27" s="40"/>
    </row>
    <row r="28" spans="1:15" ht="30">
      <c r="A28" s="33" t="s">
        <v>74</v>
      </c>
      <c r="B28" s="35" t="b">
        <v>0</v>
      </c>
      <c r="D28" s="58"/>
      <c r="E28" s="55" t="s">
        <v>110</v>
      </c>
      <c r="F28" s="55" t="s">
        <v>111</v>
      </c>
      <c r="G28" s="44"/>
      <c r="H28" s="44"/>
      <c r="I28" s="44"/>
      <c r="J28" s="44"/>
      <c r="K28" s="44"/>
      <c r="L28" s="44"/>
      <c r="M28" s="44"/>
      <c r="N28" s="45"/>
      <c r="O28" s="40"/>
    </row>
    <row r="29" spans="1:15">
      <c r="D29" s="58"/>
      <c r="E29" s="45"/>
      <c r="F29" s="45"/>
      <c r="G29" s="45"/>
      <c r="H29" s="45"/>
      <c r="I29" s="45"/>
      <c r="J29" s="45"/>
      <c r="K29" s="45"/>
      <c r="L29" s="45"/>
      <c r="M29" s="45"/>
      <c r="N29" s="45"/>
      <c r="O29" s="40"/>
    </row>
    <row r="30" spans="1:15" ht="17.25">
      <c r="D30" s="58"/>
      <c r="E30" s="53" t="s">
        <v>46</v>
      </c>
      <c r="F30" s="46"/>
      <c r="G30" s="58"/>
      <c r="H30" s="45"/>
      <c r="I30" s="45"/>
      <c r="J30" s="45"/>
      <c r="K30" s="45"/>
      <c r="L30" s="45"/>
      <c r="M30" s="45"/>
      <c r="N30" s="45"/>
      <c r="O30" s="40"/>
    </row>
    <row r="31" spans="1:15" ht="45" customHeight="1">
      <c r="D31" s="58"/>
      <c r="E31" s="111" t="s">
        <v>55</v>
      </c>
      <c r="F31" s="111"/>
      <c r="G31" s="58"/>
      <c r="H31" s="45"/>
      <c r="I31" s="45"/>
      <c r="J31" s="45"/>
      <c r="K31" s="45"/>
      <c r="L31" s="45"/>
      <c r="M31" s="45"/>
      <c r="N31" s="45"/>
      <c r="O31" s="40"/>
    </row>
    <row r="32" spans="1:15">
      <c r="D32" s="58"/>
      <c r="E32" s="46"/>
      <c r="F32" s="46"/>
      <c r="G32" s="58"/>
      <c r="H32" s="45"/>
      <c r="I32" s="45"/>
      <c r="J32" s="45"/>
      <c r="K32" s="45"/>
      <c r="L32" s="45"/>
      <c r="M32" s="45"/>
      <c r="N32" s="45"/>
      <c r="O32" s="40"/>
    </row>
    <row r="33" spans="3:15" ht="17.25">
      <c r="D33" s="58"/>
      <c r="E33" s="53" t="s">
        <v>47</v>
      </c>
      <c r="F33" s="46"/>
      <c r="G33" s="58"/>
      <c r="H33" s="45"/>
      <c r="I33" s="45"/>
      <c r="J33" s="45"/>
      <c r="K33" s="45"/>
      <c r="L33" s="45"/>
      <c r="M33" s="45"/>
      <c r="N33" s="46"/>
      <c r="O33" s="39"/>
    </row>
    <row r="34" spans="3:15" ht="46.5" customHeight="1">
      <c r="D34" s="58"/>
      <c r="E34" s="109" t="s">
        <v>56</v>
      </c>
      <c r="F34" s="109"/>
      <c r="G34" s="58"/>
      <c r="H34" s="45"/>
      <c r="I34" s="45"/>
      <c r="J34" s="45"/>
      <c r="K34" s="45"/>
      <c r="L34" s="45"/>
      <c r="M34" s="45"/>
      <c r="N34" s="45"/>
      <c r="O34" s="40"/>
    </row>
    <row r="35" spans="3:15" ht="78" customHeight="1">
      <c r="D35" s="58"/>
      <c r="E35" s="109" t="s">
        <v>76</v>
      </c>
      <c r="F35" s="109"/>
      <c r="G35" s="45"/>
      <c r="H35" s="45"/>
      <c r="I35" s="45"/>
      <c r="J35" s="45"/>
      <c r="K35" s="45"/>
      <c r="L35" s="45"/>
      <c r="M35" s="45"/>
      <c r="N35" s="45"/>
      <c r="O35" s="40"/>
    </row>
    <row r="36" spans="3:15">
      <c r="D36" s="58"/>
      <c r="E36" s="46"/>
      <c r="F36" s="46"/>
      <c r="G36" s="45"/>
      <c r="H36" s="45"/>
      <c r="I36" s="45"/>
      <c r="J36" s="45"/>
      <c r="K36" s="45"/>
      <c r="L36" s="45"/>
      <c r="M36" s="45"/>
      <c r="N36" s="46"/>
      <c r="O36" s="39"/>
    </row>
    <row r="37" spans="3:15" ht="17.25">
      <c r="D37" s="58"/>
      <c r="E37" s="53" t="s">
        <v>48</v>
      </c>
      <c r="F37" s="46"/>
      <c r="G37" s="45"/>
      <c r="H37" s="45"/>
      <c r="I37" s="45"/>
      <c r="J37" s="45"/>
      <c r="K37" s="45"/>
      <c r="L37" s="45"/>
      <c r="M37" s="45"/>
      <c r="N37" s="46"/>
      <c r="O37" s="39"/>
    </row>
    <row r="38" spans="3:15">
      <c r="D38" s="58"/>
      <c r="E38" s="50" t="s">
        <v>112</v>
      </c>
      <c r="F38" s="46" t="s">
        <v>57</v>
      </c>
      <c r="G38" s="45"/>
      <c r="H38" s="45"/>
      <c r="I38" s="45"/>
      <c r="J38" s="45"/>
      <c r="K38" s="45"/>
      <c r="L38" s="45"/>
      <c r="M38" s="45"/>
      <c r="N38" s="46"/>
      <c r="O38" s="39"/>
    </row>
    <row r="39" spans="3:15" hidden="1">
      <c r="C39" s="3" t="s">
        <v>7</v>
      </c>
      <c r="D39" s="58"/>
      <c r="E39" s="50" t="s">
        <v>118</v>
      </c>
      <c r="F39" s="46" t="s">
        <v>119</v>
      </c>
      <c r="G39" s="45"/>
      <c r="H39" s="45"/>
      <c r="I39" s="45"/>
      <c r="J39" s="45"/>
      <c r="K39" s="45"/>
      <c r="L39" s="45"/>
      <c r="M39" s="45"/>
      <c r="N39" s="46"/>
      <c r="O39" s="39"/>
    </row>
    <row r="40" spans="3:15" hidden="1">
      <c r="C40" s="3" t="s">
        <v>7</v>
      </c>
      <c r="D40" s="58"/>
      <c r="E40" s="50" t="s">
        <v>120</v>
      </c>
      <c r="F40" s="46" t="s">
        <v>121</v>
      </c>
      <c r="G40" s="45"/>
      <c r="H40" s="45"/>
      <c r="I40" s="45"/>
      <c r="J40" s="45"/>
      <c r="K40" s="45"/>
      <c r="L40" s="45"/>
      <c r="M40" s="45"/>
      <c r="N40" s="46"/>
      <c r="O40" s="39"/>
    </row>
    <row r="41" spans="3:15" hidden="1">
      <c r="C41" s="3" t="s">
        <v>7</v>
      </c>
      <c r="D41" s="58"/>
      <c r="E41" s="50" t="s">
        <v>150</v>
      </c>
      <c r="F41" s="46" t="s">
        <v>149</v>
      </c>
      <c r="G41" s="45"/>
      <c r="H41" s="45"/>
      <c r="I41" s="45"/>
      <c r="J41" s="45"/>
      <c r="K41" s="45"/>
      <c r="L41" s="45"/>
      <c r="M41" s="45"/>
      <c r="N41" s="46"/>
      <c r="O41" s="39"/>
    </row>
    <row r="42" spans="3:15" ht="30">
      <c r="D42" s="58"/>
      <c r="E42" s="108" t="s">
        <v>151</v>
      </c>
      <c r="F42" s="46" t="s">
        <v>152</v>
      </c>
      <c r="G42" s="45"/>
      <c r="H42" s="45"/>
      <c r="I42" s="45"/>
      <c r="J42" s="45"/>
      <c r="K42" s="45"/>
      <c r="L42" s="45"/>
      <c r="M42" s="45"/>
      <c r="N42" s="46"/>
      <c r="O42" s="39"/>
    </row>
    <row r="43" spans="3:15">
      <c r="D43" s="58"/>
      <c r="E43" s="66"/>
      <c r="F43" s="46"/>
      <c r="G43" s="45"/>
      <c r="H43" s="45"/>
      <c r="I43" s="45"/>
      <c r="J43" s="45"/>
      <c r="K43" s="45"/>
      <c r="L43" s="45"/>
      <c r="M43" s="45"/>
      <c r="N43" s="46"/>
      <c r="O43" s="39"/>
    </row>
    <row r="44" spans="3:15" ht="17.25">
      <c r="D44" s="58"/>
      <c r="E44" s="53" t="s">
        <v>49</v>
      </c>
      <c r="G44" s="45"/>
      <c r="H44" s="45"/>
      <c r="I44" s="45"/>
      <c r="J44" s="45"/>
      <c r="K44" s="45"/>
      <c r="L44" s="45"/>
      <c r="M44" s="45"/>
      <c r="N44" s="45"/>
      <c r="O44" s="40"/>
    </row>
    <row r="45" spans="3:15" ht="15" customHeight="1">
      <c r="D45" s="58"/>
      <c r="E45" s="50" t="s">
        <v>75</v>
      </c>
      <c r="G45" s="46"/>
      <c r="H45" s="46"/>
      <c r="I45" s="46"/>
      <c r="J45" s="46"/>
      <c r="K45" s="46"/>
      <c r="L45" s="46"/>
      <c r="M45" s="46"/>
      <c r="N45" s="45"/>
      <c r="O45" s="40"/>
    </row>
    <row r="46" spans="3:15">
      <c r="D46" s="58"/>
      <c r="G46" s="45"/>
      <c r="H46" s="45"/>
      <c r="I46" s="45"/>
      <c r="J46" s="45"/>
      <c r="K46" s="45"/>
      <c r="L46" s="45"/>
      <c r="M46" s="45"/>
      <c r="N46" s="45"/>
      <c r="O46" s="40"/>
    </row>
    <row r="47" spans="3:15" hidden="1">
      <c r="C47" s="3" t="s">
        <v>80</v>
      </c>
      <c r="D47" s="58"/>
      <c r="G47" s="45"/>
      <c r="H47" s="45"/>
      <c r="I47" s="45"/>
      <c r="J47" s="45"/>
      <c r="K47" s="45"/>
      <c r="L47" s="45"/>
      <c r="M47" s="45"/>
      <c r="N47" s="45"/>
      <c r="O47" s="40"/>
    </row>
    <row r="48" spans="3:15" hidden="1">
      <c r="D48" s="58"/>
      <c r="G48" s="45"/>
      <c r="H48" s="45"/>
      <c r="I48" s="45"/>
      <c r="J48" s="45"/>
      <c r="K48" s="45"/>
      <c r="L48" s="45"/>
      <c r="M48" s="45"/>
      <c r="N48" s="45"/>
      <c r="O48" s="40"/>
    </row>
    <row r="49" spans="4:15" hidden="1">
      <c r="D49" s="58"/>
      <c r="G49" s="46"/>
      <c r="H49" s="46"/>
      <c r="I49" s="46"/>
      <c r="J49" s="46"/>
      <c r="K49" s="46"/>
      <c r="L49" s="46"/>
      <c r="M49" s="46"/>
      <c r="N49" s="45"/>
      <c r="O49" s="40"/>
    </row>
    <row r="50" spans="4:15" hidden="1">
      <c r="D50" s="58"/>
      <c r="G50" s="45"/>
      <c r="H50" s="45"/>
      <c r="I50" s="45"/>
      <c r="J50" s="45"/>
      <c r="K50" s="45"/>
      <c r="L50" s="45"/>
      <c r="M50" s="45"/>
    </row>
    <row r="51" spans="4:15" hidden="1">
      <c r="D51" s="58"/>
      <c r="G51" s="45"/>
      <c r="H51" s="45"/>
      <c r="I51" s="45"/>
      <c r="J51" s="45"/>
      <c r="K51" s="45"/>
      <c r="L51" s="45"/>
      <c r="M51" s="45"/>
    </row>
    <row r="52" spans="4:15" ht="29.25" hidden="1" customHeight="1">
      <c r="D52" s="58"/>
      <c r="G52" s="45"/>
      <c r="H52" s="45"/>
      <c r="I52" s="45"/>
      <c r="J52" s="45"/>
      <c r="K52" s="45"/>
      <c r="L52" s="45"/>
      <c r="M52" s="45"/>
    </row>
    <row r="53" spans="4:15" hidden="1">
      <c r="D53" s="58"/>
      <c r="G53" s="45"/>
      <c r="H53" s="45"/>
      <c r="I53" s="45"/>
      <c r="J53" s="45"/>
      <c r="K53" s="45"/>
      <c r="L53" s="45"/>
      <c r="M53" s="45"/>
    </row>
    <row r="54" spans="4:15" hidden="1">
      <c r="D54" s="58"/>
      <c r="G54" s="45"/>
      <c r="H54" s="45"/>
      <c r="I54" s="45"/>
      <c r="J54" s="45"/>
      <c r="K54" s="45"/>
      <c r="L54" s="45"/>
      <c r="M54" s="45"/>
    </row>
    <row r="55" spans="4:15" ht="45" hidden="1" customHeight="1">
      <c r="D55" s="58"/>
      <c r="G55" s="45"/>
      <c r="H55" s="45"/>
      <c r="I55" s="45"/>
      <c r="J55" s="45"/>
      <c r="K55" s="45"/>
      <c r="L55" s="45"/>
      <c r="M55" s="45"/>
    </row>
    <row r="56" spans="4:15" ht="63.75" hidden="1" customHeight="1">
      <c r="D56" s="58"/>
      <c r="E56" s="46"/>
      <c r="G56" s="45"/>
      <c r="H56" s="45"/>
      <c r="I56" s="45"/>
      <c r="J56" s="45"/>
      <c r="K56" s="45"/>
      <c r="L56" s="45"/>
      <c r="M56" s="45"/>
    </row>
    <row r="57" spans="4:15" hidden="1">
      <c r="D57" s="58"/>
    </row>
    <row r="58" spans="4:15" hidden="1">
      <c r="D58" s="58"/>
    </row>
    <row r="59" spans="4:15" hidden="1">
      <c r="D59" s="58"/>
    </row>
    <row r="60" spans="4:15" hidden="1">
      <c r="D60" s="58"/>
    </row>
    <row r="61" spans="4:15" hidden="1">
      <c r="D61" s="58"/>
    </row>
    <row r="62" spans="4:15" hidden="1">
      <c r="D62" s="58"/>
    </row>
    <row r="63" spans="4:15" hidden="1">
      <c r="D63" s="58"/>
    </row>
    <row r="64" spans="4:15" hidden="1">
      <c r="D64" s="58"/>
      <c r="E64" s="67"/>
    </row>
    <row r="65" spans="4:6" hidden="1">
      <c r="D65" s="58"/>
    </row>
    <row r="66" spans="4:6" hidden="1">
      <c r="D66" s="58"/>
    </row>
    <row r="67" spans="4:6" hidden="1">
      <c r="D67" s="58"/>
      <c r="E67" s="67"/>
    </row>
    <row r="68" spans="4:6" hidden="1">
      <c r="D68" s="58"/>
      <c r="E68" s="68"/>
    </row>
    <row r="69" spans="4:6" hidden="1">
      <c r="D69" s="58"/>
      <c r="E69" s="56"/>
    </row>
    <row r="70" spans="4:6" hidden="1">
      <c r="E70" s="67"/>
    </row>
    <row r="71" spans="4:6" hidden="1"/>
    <row r="72" spans="4:6" hidden="1"/>
    <row r="73" spans="4:6" hidden="1">
      <c r="F73" s="50"/>
    </row>
    <row r="74" spans="4:6" hidden="1">
      <c r="E74" s="67"/>
      <c r="F74" s="50"/>
    </row>
  </sheetData>
  <sheetProtection password="83EF" sheet="1" objects="1" scenarios="1" formatRows="0" selectLockedCells="1"/>
  <mergeCells count="4">
    <mergeCell ref="E34:F34"/>
    <mergeCell ref="E35:F35"/>
    <mergeCell ref="E6:F6"/>
    <mergeCell ref="E31:F31"/>
  </mergeCells>
  <dataValidations count="5">
    <dataValidation type="list" allowBlank="1" showInputMessage="1" showErrorMessage="1" sqref="B27:B28 B8:B24 B3:B5">
      <formula1>TrueFalse</formula1>
    </dataValidation>
    <dataValidation type="list" allowBlank="1" showInputMessage="1" showErrorMessage="1" errorTitle="Attention" error="Please select a value from the dropdown list." sqref="G28:G29">
      <formula1>Projects</formula1>
    </dataValidation>
    <dataValidation type="list" allowBlank="1" showInputMessage="1" showErrorMessage="1" errorTitle="Attention" error="Please select a value from the dropdown list." sqref="J28:J33">
      <formula1>Urgency</formula1>
    </dataValidation>
    <dataValidation type="list" allowBlank="1" showInputMessage="1" showErrorMessage="1" errorTitle="Attention" error="Please select a value from the dropdown list." sqref="K28:K33">
      <formula1>Responsibles</formula1>
    </dataValidation>
    <dataValidation type="list" allowBlank="1" showInputMessage="1" showErrorMessage="1" sqref="B2">
      <formula1>HiddenStatuses</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tBlankPage1"/>
  <dimension ref="A1:FF981"/>
  <sheetViews>
    <sheetView showGridLines="0" showRowColHeaders="0" topLeftCell="D2" workbookViewId="0">
      <selection activeCell="I5" sqref="I5"/>
    </sheetView>
  </sheetViews>
  <sheetFormatPr defaultColWidth="0" defaultRowHeight="15"/>
  <cols>
    <col min="1" max="1" width="24" style="1" hidden="1" customWidth="1"/>
    <col min="2" max="2" width="15.7109375" style="14" hidden="1" customWidth="1"/>
    <col min="3" max="3" width="9.140625" style="3" hidden="1" customWidth="1"/>
    <col min="4" max="4" width="4" style="1" customWidth="1"/>
    <col min="5" max="5" width="13.28515625" style="93" customWidth="1"/>
    <col min="6" max="6" width="12.7109375" style="93" bestFit="1" customWidth="1"/>
    <col min="7" max="7" width="1.85546875" style="1" customWidth="1"/>
    <col min="8" max="8" width="12" style="1" customWidth="1"/>
    <col min="9" max="9" width="14.42578125" style="1" customWidth="1"/>
    <col min="10" max="10" width="9.5703125" style="1" bestFit="1" customWidth="1"/>
    <col min="11" max="11" width="10.7109375" style="1" bestFit="1" customWidth="1"/>
    <col min="12" max="160" width="9.140625" style="1" customWidth="1"/>
    <col min="161" max="161" width="2.7109375" style="1" customWidth="1"/>
    <col min="162" max="16384" width="9.140625" style="1" hidden="1"/>
  </cols>
  <sheetData>
    <row r="1" spans="1:162" s="89" customFormat="1" hidden="1">
      <c r="A1" s="10" t="s">
        <v>10</v>
      </c>
      <c r="B1" s="11"/>
      <c r="C1" s="89" t="s">
        <v>7</v>
      </c>
      <c r="E1" s="91"/>
      <c r="F1" s="91"/>
      <c r="FF1" s="89" t="s">
        <v>80</v>
      </c>
    </row>
    <row r="2" spans="1:162">
      <c r="A2" s="8" t="s">
        <v>0</v>
      </c>
      <c r="B2" s="12" t="s">
        <v>11</v>
      </c>
      <c r="D2" s="86"/>
      <c r="E2" s="92"/>
      <c r="F2" s="92"/>
      <c r="G2" s="86"/>
      <c r="H2" s="86"/>
      <c r="I2" s="86"/>
      <c r="J2" s="86"/>
      <c r="K2" s="86"/>
      <c r="L2" s="86"/>
      <c r="M2" s="86"/>
      <c r="N2" s="86"/>
      <c r="O2" s="86"/>
      <c r="P2" s="86"/>
      <c r="Q2" s="86"/>
      <c r="R2" s="86"/>
      <c r="S2" s="86"/>
      <c r="T2" s="86"/>
      <c r="U2" s="86"/>
      <c r="V2" s="86"/>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row>
    <row r="3" spans="1:162">
      <c r="A3" s="9" t="s">
        <v>8</v>
      </c>
      <c r="B3" s="13" t="b">
        <v>0</v>
      </c>
      <c r="D3" s="86"/>
      <c r="E3" s="92"/>
      <c r="F3" s="92"/>
      <c r="G3" s="86"/>
      <c r="H3" s="86"/>
      <c r="I3" s="86"/>
      <c r="J3" s="86"/>
      <c r="K3" s="86"/>
      <c r="L3" s="86"/>
      <c r="M3" s="86"/>
      <c r="N3" s="86"/>
      <c r="O3" s="86"/>
      <c r="P3" s="86"/>
      <c r="Q3" s="86"/>
      <c r="R3" s="86"/>
      <c r="S3" s="86"/>
      <c r="T3" s="86"/>
      <c r="U3" s="86"/>
      <c r="V3" s="86"/>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row>
    <row r="4" spans="1:162">
      <c r="A4" s="8" t="s">
        <v>2</v>
      </c>
      <c r="B4" s="12" t="b">
        <v>0</v>
      </c>
      <c r="D4" s="86"/>
      <c r="E4" s="92"/>
      <c r="F4" s="92"/>
      <c r="G4" s="86"/>
      <c r="H4" s="86"/>
      <c r="I4" s="86"/>
      <c r="J4" s="86"/>
      <c r="K4" s="86"/>
      <c r="L4" s="86"/>
      <c r="M4" s="86"/>
      <c r="N4" s="86"/>
      <c r="O4" s="86"/>
      <c r="P4" s="86"/>
      <c r="Q4" s="86"/>
      <c r="R4" s="86"/>
      <c r="S4" s="86"/>
      <c r="T4" s="86"/>
      <c r="U4" s="86"/>
      <c r="V4" s="86"/>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row>
    <row r="5" spans="1:162">
      <c r="A5" s="8" t="s">
        <v>6</v>
      </c>
      <c r="B5" s="12" t="b">
        <v>0</v>
      </c>
      <c r="H5" s="90"/>
    </row>
    <row r="6" spans="1:162">
      <c r="E6" s="101" t="s">
        <v>88</v>
      </c>
      <c r="F6" s="102" t="s">
        <v>116</v>
      </c>
      <c r="H6" s="90"/>
      <c r="I6" s="14"/>
      <c r="J6" s="90"/>
    </row>
    <row r="7" spans="1:162" s="70" customFormat="1">
      <c r="A7" s="10" t="s">
        <v>29</v>
      </c>
      <c r="B7" s="11"/>
      <c r="C7" s="6"/>
      <c r="D7" s="1"/>
      <c r="E7" s="101" t="s">
        <v>90</v>
      </c>
      <c r="F7" s="102" t="s">
        <v>93</v>
      </c>
      <c r="G7" s="1"/>
      <c r="H7" s="90"/>
      <c r="I7" s="90"/>
      <c r="J7" s="90"/>
      <c r="K7" s="1"/>
    </row>
    <row r="8" spans="1:162">
      <c r="A8" s="20" t="s">
        <v>14</v>
      </c>
      <c r="B8" s="12" t="b">
        <v>1</v>
      </c>
      <c r="E8" s="101" t="s">
        <v>89</v>
      </c>
      <c r="F8" s="102" t="s">
        <v>94</v>
      </c>
      <c r="J8" s="90"/>
    </row>
    <row r="9" spans="1:162">
      <c r="A9" s="20" t="s">
        <v>15</v>
      </c>
      <c r="B9" s="12" t="b">
        <v>1</v>
      </c>
    </row>
    <row r="10" spans="1:162">
      <c r="A10" s="20" t="s">
        <v>16</v>
      </c>
      <c r="B10" s="12" t="b">
        <v>1</v>
      </c>
      <c r="E10" s="103" t="s">
        <v>87</v>
      </c>
      <c r="F10" s="104" t="s">
        <v>91</v>
      </c>
      <c r="G10" s="14"/>
      <c r="H10" s="103" t="s">
        <v>87</v>
      </c>
      <c r="I10" s="104" t="s">
        <v>92</v>
      </c>
    </row>
    <row r="11" spans="1:162">
      <c r="A11" s="20" t="s">
        <v>17</v>
      </c>
      <c r="B11" s="12" t="b">
        <v>0</v>
      </c>
      <c r="E11" s="100" t="s">
        <v>85</v>
      </c>
      <c r="F11" s="100" t="s">
        <v>86</v>
      </c>
      <c r="H11" s="100" t="s">
        <v>85</v>
      </c>
      <c r="I11" s="100" t="s">
        <v>86</v>
      </c>
    </row>
    <row r="12" spans="1:162">
      <c r="A12" s="20" t="s">
        <v>18</v>
      </c>
      <c r="B12" s="12" t="b">
        <v>0</v>
      </c>
      <c r="E12" s="93">
        <v>0</v>
      </c>
      <c r="F12" s="93">
        <f>E12^1.3+25 * SIN(DEGREES(E12))</f>
        <v>0</v>
      </c>
      <c r="H12" s="93">
        <v>0</v>
      </c>
      <c r="I12" s="93">
        <f>H12^1.2+10 * SIN(DEGREES(H12))</f>
        <v>0</v>
      </c>
    </row>
    <row r="13" spans="1:162" ht="15" customHeight="1">
      <c r="A13" s="20" t="s">
        <v>19</v>
      </c>
      <c r="B13" s="12" t="b">
        <v>0</v>
      </c>
      <c r="E13" s="93">
        <v>0.9</v>
      </c>
      <c r="F13" s="93">
        <f t="shared" ref="F13:F76" si="0">E13^1.3+25 * SIN(DEGREES(E13))</f>
        <v>24.965754940958721</v>
      </c>
      <c r="H13" s="93">
        <v>1</v>
      </c>
      <c r="I13" s="93">
        <f t="shared" ref="I13:I76" si="1">H13^1.2+10 * SIN(DEGREES(H13))</f>
        <v>7.7952261835137939</v>
      </c>
    </row>
    <row r="14" spans="1:162">
      <c r="A14" s="20" t="s">
        <v>20</v>
      </c>
      <c r="B14" s="12" t="b">
        <v>0</v>
      </c>
      <c r="E14" s="93">
        <v>1.8</v>
      </c>
      <c r="F14" s="93">
        <f t="shared" si="0"/>
        <v>15.003821168771967</v>
      </c>
      <c r="H14" s="93">
        <v>2</v>
      </c>
      <c r="I14" s="93">
        <f t="shared" si="1"/>
        <v>12.268094040595022</v>
      </c>
    </row>
    <row r="15" spans="1:162">
      <c r="A15" s="20" t="s">
        <v>21</v>
      </c>
      <c r="B15" s="12" t="b">
        <v>0</v>
      </c>
      <c r="E15" s="93">
        <v>2.7</v>
      </c>
      <c r="F15" s="93">
        <f t="shared" si="0"/>
        <v>-13.596017688947295</v>
      </c>
      <c r="H15" s="93">
        <v>3</v>
      </c>
      <c r="I15" s="93">
        <f t="shared" si="1"/>
        <v>11.572061730570018</v>
      </c>
    </row>
    <row r="16" spans="1:162">
      <c r="A16" s="20" t="s">
        <v>22</v>
      </c>
      <c r="B16" s="12" t="b">
        <v>0</v>
      </c>
      <c r="E16" s="93">
        <v>3.6</v>
      </c>
      <c r="F16" s="93">
        <f t="shared" si="0"/>
        <v>-16.765779333523795</v>
      </c>
      <c r="H16" s="93">
        <v>4</v>
      </c>
      <c r="I16" s="93">
        <f t="shared" si="1"/>
        <v>6.803508896532855</v>
      </c>
    </row>
    <row r="17" spans="1:9">
      <c r="A17" s="20" t="s">
        <v>23</v>
      </c>
      <c r="B17" s="12" t="b">
        <v>0</v>
      </c>
      <c r="E17" s="93">
        <v>4.5</v>
      </c>
      <c r="F17" s="93">
        <f t="shared" si="0"/>
        <v>12.531791168642258</v>
      </c>
      <c r="H17" s="93">
        <v>5</v>
      </c>
      <c r="I17" s="93">
        <f t="shared" si="1"/>
        <v>1.3021260772105512</v>
      </c>
    </row>
    <row r="18" spans="1:9">
      <c r="A18" s="20" t="s">
        <v>24</v>
      </c>
      <c r="B18" s="12" t="b">
        <v>0</v>
      </c>
      <c r="E18" s="93">
        <v>5.4</v>
      </c>
      <c r="F18" s="93">
        <f t="shared" si="0"/>
        <v>33.925125883061021</v>
      </c>
      <c r="H18" s="93">
        <v>6</v>
      </c>
      <c r="I18" s="93">
        <f t="shared" si="1"/>
        <v>-1.1514908580724352</v>
      </c>
    </row>
    <row r="19" spans="1:9">
      <c r="A19" s="20" t="s">
        <v>25</v>
      </c>
      <c r="B19" s="12" t="b">
        <v>0</v>
      </c>
      <c r="E19" s="93">
        <v>6.3</v>
      </c>
      <c r="F19" s="93">
        <f t="shared" si="0"/>
        <v>18.801253242445789</v>
      </c>
      <c r="H19" s="93">
        <v>7</v>
      </c>
      <c r="I19" s="93">
        <f t="shared" si="1"/>
        <v>1.6392974547427581</v>
      </c>
    </row>
    <row r="20" spans="1:9">
      <c r="A20" s="20" t="s">
        <v>26</v>
      </c>
      <c r="B20" s="12" t="b">
        <v>0</v>
      </c>
      <c r="E20" s="93">
        <v>7.2</v>
      </c>
      <c r="F20" s="93">
        <f t="shared" si="0"/>
        <v>-7.7583604134932376</v>
      </c>
      <c r="H20" s="93">
        <v>8</v>
      </c>
      <c r="I20" s="93">
        <f t="shared" si="1"/>
        <v>9.1104860758831645</v>
      </c>
    </row>
    <row r="21" spans="1:9">
      <c r="A21" s="20" t="s">
        <v>27</v>
      </c>
      <c r="B21" s="12" t="b">
        <v>0</v>
      </c>
      <c r="E21" s="93">
        <v>8.1</v>
      </c>
      <c r="F21" s="93">
        <f t="shared" si="0"/>
        <v>-3.7728412984122173</v>
      </c>
      <c r="H21" s="93">
        <v>9</v>
      </c>
      <c r="I21" s="93">
        <f t="shared" si="1"/>
        <v>18.233426226715885</v>
      </c>
    </row>
    <row r="22" spans="1:9">
      <c r="A22" s="20" t="s">
        <v>28</v>
      </c>
      <c r="B22" s="12" t="b">
        <v>0</v>
      </c>
      <c r="E22" s="93">
        <v>9</v>
      </c>
      <c r="F22" s="93">
        <f t="shared" si="0"/>
        <v>28.065678558079981</v>
      </c>
      <c r="H22" s="93">
        <v>10</v>
      </c>
      <c r="I22" s="93">
        <f t="shared" si="1"/>
        <v>25.124916488035772</v>
      </c>
    </row>
    <row r="23" spans="1:9">
      <c r="A23" s="33" t="s">
        <v>67</v>
      </c>
      <c r="B23" s="12" t="b">
        <v>0</v>
      </c>
      <c r="E23" s="93">
        <v>9.9</v>
      </c>
      <c r="F23" s="93">
        <f t="shared" si="0"/>
        <v>44.330097968945758</v>
      </c>
      <c r="H23" s="93">
        <v>11</v>
      </c>
      <c r="I23" s="93">
        <f t="shared" si="1"/>
        <v>27.113257585065995</v>
      </c>
    </row>
    <row r="24" spans="1:9">
      <c r="E24" s="93">
        <v>10.8</v>
      </c>
      <c r="F24" s="93">
        <f t="shared" si="0"/>
        <v>24.531415607704723</v>
      </c>
      <c r="H24" s="93">
        <v>12</v>
      </c>
      <c r="I24" s="93">
        <f t="shared" si="1"/>
        <v>24.159457358340003</v>
      </c>
    </row>
    <row r="25" spans="1:9">
      <c r="A25" s="10" t="s">
        <v>58</v>
      </c>
      <c r="B25" s="11"/>
      <c r="E25" s="93">
        <v>11.7</v>
      </c>
      <c r="F25" s="93">
        <f t="shared" si="0"/>
        <v>1.156928856645802</v>
      </c>
      <c r="H25" s="93">
        <v>13</v>
      </c>
      <c r="I25" s="93">
        <f t="shared" si="1"/>
        <v>18.876376320386239</v>
      </c>
    </row>
    <row r="26" spans="1:9">
      <c r="A26" s="33" t="s">
        <v>59</v>
      </c>
      <c r="B26" s="35" t="b">
        <v>0</v>
      </c>
      <c r="E26" s="93">
        <v>12.6</v>
      </c>
      <c r="F26" s="93">
        <f t="shared" si="0"/>
        <v>12.025591941627681</v>
      </c>
      <c r="H26" s="93">
        <v>14</v>
      </c>
      <c r="I26" s="93">
        <f t="shared" si="1"/>
        <v>15.135521356436282</v>
      </c>
    </row>
    <row r="27" spans="1:9">
      <c r="A27" s="33" t="s">
        <v>74</v>
      </c>
      <c r="B27" s="35" t="b">
        <v>0</v>
      </c>
      <c r="E27" s="93">
        <v>13.5</v>
      </c>
      <c r="F27" s="93">
        <f t="shared" si="0"/>
        <v>44.825863101490192</v>
      </c>
      <c r="H27" s="93">
        <v>15</v>
      </c>
      <c r="I27" s="93">
        <f t="shared" si="1"/>
        <v>16.003572805900156</v>
      </c>
    </row>
    <row r="28" spans="1:9">
      <c r="E28" s="93">
        <v>14.4</v>
      </c>
      <c r="F28" s="93">
        <f t="shared" si="0"/>
        <v>55.16493684363715</v>
      </c>
      <c r="H28" s="93">
        <v>16</v>
      </c>
      <c r="I28" s="93">
        <f t="shared" si="1"/>
        <v>22.107794004618547</v>
      </c>
    </row>
    <row r="29" spans="1:9">
      <c r="E29" s="93">
        <v>15.3</v>
      </c>
      <c r="F29" s="93">
        <f t="shared" si="0"/>
        <v>31.662063917424035</v>
      </c>
      <c r="H29" s="93">
        <v>17</v>
      </c>
      <c r="I29" s="93">
        <f t="shared" si="1"/>
        <v>31.301022814574125</v>
      </c>
    </row>
    <row r="30" spans="1:9">
      <c r="E30" s="93">
        <v>16.2</v>
      </c>
      <c r="F30" s="93">
        <f t="shared" si="0"/>
        <v>12.633790494332743</v>
      </c>
      <c r="H30" s="93">
        <v>18</v>
      </c>
      <c r="I30" s="93">
        <f t="shared" si="1"/>
        <v>39.804677397654956</v>
      </c>
    </row>
    <row r="31" spans="1:9">
      <c r="A31" s="10" t="s">
        <v>79</v>
      </c>
      <c r="B31" s="11"/>
      <c r="E31" s="93">
        <v>17.100000000000001</v>
      </c>
      <c r="F31" s="93">
        <f t="shared" si="0"/>
        <v>29.904009987789763</v>
      </c>
      <c r="H31" s="93">
        <v>19</v>
      </c>
      <c r="I31" s="93">
        <f t="shared" si="1"/>
        <v>44.220889467721108</v>
      </c>
    </row>
    <row r="32" spans="1:9">
      <c r="A32" s="33" t="s">
        <v>77</v>
      </c>
      <c r="B32" s="35">
        <f>ROW(TableStart)</f>
        <v>7</v>
      </c>
      <c r="E32" s="93">
        <v>18</v>
      </c>
      <c r="F32" s="93">
        <f t="shared" si="0"/>
        <v>62.135055828403196</v>
      </c>
      <c r="H32" s="93">
        <v>20</v>
      </c>
      <c r="I32" s="93">
        <f t="shared" si="1"/>
        <v>43.341906026830081</v>
      </c>
    </row>
    <row r="33" spans="1:9">
      <c r="A33" s="33" t="s">
        <v>78</v>
      </c>
      <c r="B33" s="35">
        <f>COLUMN(TableStart)</f>
        <v>5</v>
      </c>
      <c r="E33" s="93">
        <v>18.899999999999999</v>
      </c>
      <c r="F33" s="93">
        <f t="shared" si="0"/>
        <v>66.114531308187367</v>
      </c>
      <c r="H33" s="93">
        <v>21</v>
      </c>
      <c r="I33" s="93">
        <f t="shared" si="1"/>
        <v>38.79289678069555</v>
      </c>
    </row>
    <row r="34" spans="1:9">
      <c r="E34" s="93">
        <v>19.8</v>
      </c>
      <c r="F34" s="93">
        <f t="shared" si="0"/>
        <v>40.119201580927893</v>
      </c>
      <c r="H34" s="93">
        <v>22</v>
      </c>
      <c r="I34" s="93">
        <f t="shared" si="1"/>
        <v>34.165740790844701</v>
      </c>
    </row>
    <row r="35" spans="1:9">
      <c r="E35" s="93">
        <v>20.7</v>
      </c>
      <c r="F35" s="93">
        <f t="shared" si="0"/>
        <v>26.439851153478706</v>
      </c>
      <c r="H35" s="93">
        <v>23</v>
      </c>
      <c r="I35" s="93">
        <f t="shared" si="1"/>
        <v>33.105209194253142</v>
      </c>
    </row>
    <row r="36" spans="1:9">
      <c r="E36" s="93">
        <v>21.6</v>
      </c>
      <c r="F36" s="93">
        <f t="shared" si="0"/>
        <v>49.364662139595275</v>
      </c>
      <c r="H36" s="93">
        <v>24</v>
      </c>
      <c r="I36" s="93">
        <f t="shared" si="1"/>
        <v>37.367011171609107</v>
      </c>
    </row>
    <row r="37" spans="1:9">
      <c r="E37" s="93">
        <v>22.5</v>
      </c>
      <c r="F37" s="93">
        <f t="shared" si="0"/>
        <v>79.561541021644913</v>
      </c>
      <c r="H37" s="93">
        <v>25</v>
      </c>
      <c r="I37" s="93">
        <f t="shared" si="1"/>
        <v>45.882159540882881</v>
      </c>
    </row>
    <row r="38" spans="1:9">
      <c r="E38" s="93">
        <v>23.4</v>
      </c>
      <c r="F38" s="93">
        <f t="shared" si="0"/>
        <v>77.088716065869889</v>
      </c>
      <c r="H38" s="93">
        <v>26</v>
      </c>
      <c r="I38" s="93">
        <f t="shared" si="1"/>
        <v>55.326055857658432</v>
      </c>
    </row>
    <row r="39" spans="1:9">
      <c r="E39" s="93">
        <v>24.3</v>
      </c>
      <c r="F39" s="93">
        <f t="shared" si="0"/>
        <v>49.963355549936288</v>
      </c>
      <c r="H39" s="93">
        <v>27</v>
      </c>
      <c r="I39" s="93">
        <f t="shared" si="1"/>
        <v>61.889145176366348</v>
      </c>
    </row>
    <row r="40" spans="1:9">
      <c r="E40" s="93">
        <v>25.2</v>
      </c>
      <c r="F40" s="93">
        <f t="shared" si="0"/>
        <v>42.403859620435142</v>
      </c>
      <c r="H40" s="93">
        <v>28</v>
      </c>
      <c r="I40" s="93">
        <f t="shared" si="1"/>
        <v>63.305925936465087</v>
      </c>
    </row>
    <row r="41" spans="1:9">
      <c r="E41" s="93">
        <v>26.1</v>
      </c>
      <c r="F41" s="93">
        <f t="shared" si="0"/>
        <v>69.987180930370229</v>
      </c>
      <c r="H41" s="93">
        <v>29</v>
      </c>
      <c r="I41" s="93">
        <f t="shared" si="1"/>
        <v>60.06147743692194</v>
      </c>
    </row>
    <row r="42" spans="1:9">
      <c r="E42" s="93">
        <v>27</v>
      </c>
      <c r="F42" s="93">
        <f t="shared" si="0"/>
        <v>96.80571015512362</v>
      </c>
      <c r="H42" s="93">
        <v>30</v>
      </c>
      <c r="I42" s="93">
        <f t="shared" si="1"/>
        <v>55.132796589303197</v>
      </c>
    </row>
    <row r="43" spans="1:9">
      <c r="E43" s="93">
        <v>27.9</v>
      </c>
      <c r="F43" s="93">
        <f t="shared" si="0"/>
        <v>88.120593986265149</v>
      </c>
      <c r="H43" s="93">
        <v>31</v>
      </c>
      <c r="I43" s="93">
        <f t="shared" si="1"/>
        <v>52.402729664812313</v>
      </c>
    </row>
    <row r="44" spans="1:9">
      <c r="E44" s="93">
        <v>28.8</v>
      </c>
      <c r="F44" s="93">
        <f t="shared" si="0"/>
        <v>61.301270499982984</v>
      </c>
      <c r="H44" s="93">
        <v>32</v>
      </c>
      <c r="I44" s="93">
        <f t="shared" si="1"/>
        <v>54.591381534297689</v>
      </c>
    </row>
    <row r="45" spans="1:9">
      <c r="E45" s="93">
        <v>29.7</v>
      </c>
      <c r="F45" s="93">
        <f t="shared" si="0"/>
        <v>60.35407836869868</v>
      </c>
      <c r="H45" s="93">
        <v>33</v>
      </c>
      <c r="I45" s="93">
        <f t="shared" si="1"/>
        <v>61.806920441266406</v>
      </c>
    </row>
    <row r="46" spans="1:9">
      <c r="E46" s="93">
        <v>30.6</v>
      </c>
      <c r="F46" s="93">
        <f t="shared" si="0"/>
        <v>91.390883561114705</v>
      </c>
      <c r="H46" s="93">
        <v>34</v>
      </c>
      <c r="I46" s="93">
        <f t="shared" si="1"/>
        <v>71.487750164378582</v>
      </c>
    </row>
    <row r="47" spans="1:9">
      <c r="E47" s="93">
        <v>31.5</v>
      </c>
      <c r="F47" s="93">
        <f t="shared" si="0"/>
        <v>113.66576829269044</v>
      </c>
      <c r="H47" s="93">
        <v>35</v>
      </c>
      <c r="I47" s="93">
        <f t="shared" si="1"/>
        <v>79.766852846957519</v>
      </c>
    </row>
    <row r="48" spans="1:9">
      <c r="E48" s="93">
        <v>32.4</v>
      </c>
      <c r="F48" s="93">
        <f t="shared" si="0"/>
        <v>99.323472346434883</v>
      </c>
      <c r="H48" s="93">
        <v>36</v>
      </c>
      <c r="I48" s="93">
        <f t="shared" si="1"/>
        <v>83.531528546186252</v>
      </c>
    </row>
    <row r="49" spans="5:9">
      <c r="E49" s="93">
        <v>33.299999999999997</v>
      </c>
      <c r="F49" s="93">
        <f t="shared" si="0"/>
        <v>74.245169041796174</v>
      </c>
      <c r="H49" s="93">
        <v>37</v>
      </c>
      <c r="I49" s="93">
        <f t="shared" si="1"/>
        <v>82.081326168213934</v>
      </c>
    </row>
    <row r="50" spans="5:9">
      <c r="E50" s="93">
        <v>34.200000000000003</v>
      </c>
      <c r="F50" s="93">
        <f t="shared" si="0"/>
        <v>80.095805421643973</v>
      </c>
      <c r="H50" s="93">
        <v>38</v>
      </c>
      <c r="I50" s="93">
        <f t="shared" si="1"/>
        <v>77.501000332710106</v>
      </c>
    </row>
    <row r="51" spans="5:9">
      <c r="E51" s="93">
        <v>35.1</v>
      </c>
      <c r="F51" s="93">
        <f t="shared" si="0"/>
        <v>113.22633917243981</v>
      </c>
      <c r="H51" s="93">
        <v>39</v>
      </c>
      <c r="I51" s="93">
        <f t="shared" si="1"/>
        <v>73.549822762431745</v>
      </c>
    </row>
    <row r="52" spans="5:9">
      <c r="E52" s="93">
        <v>36</v>
      </c>
      <c r="F52" s="93">
        <f t="shared" si="0"/>
        <v>130.0239132253428</v>
      </c>
      <c r="H52" s="93">
        <v>40</v>
      </c>
      <c r="I52" s="93">
        <f t="shared" si="1"/>
        <v>73.658901280991657</v>
      </c>
    </row>
    <row r="53" spans="5:9">
      <c r="E53" s="93">
        <v>36.9</v>
      </c>
      <c r="F53" s="93">
        <f t="shared" si="0"/>
        <v>110.8645322841741</v>
      </c>
      <c r="H53" s="93">
        <v>41</v>
      </c>
      <c r="I53" s="93">
        <f t="shared" si="1"/>
        <v>79.103315777654927</v>
      </c>
    </row>
    <row r="54" spans="5:9">
      <c r="E54" s="93">
        <v>37.799999999999997</v>
      </c>
      <c r="F54" s="93">
        <f t="shared" si="0"/>
        <v>88.888783824846939</v>
      </c>
      <c r="H54" s="93">
        <v>42</v>
      </c>
      <c r="I54" s="93">
        <f t="shared" si="1"/>
        <v>88.322757146712974</v>
      </c>
    </row>
    <row r="55" spans="5:9">
      <c r="E55" s="93">
        <v>38.700000000000003</v>
      </c>
      <c r="F55" s="93">
        <f t="shared" si="0"/>
        <v>101.40422157886346</v>
      </c>
      <c r="H55" s="93">
        <v>43</v>
      </c>
      <c r="I55" s="93">
        <f t="shared" si="1"/>
        <v>97.752558192198109</v>
      </c>
    </row>
    <row r="56" spans="5:9">
      <c r="E56" s="93">
        <v>39.6</v>
      </c>
      <c r="F56" s="93">
        <f t="shared" si="0"/>
        <v>135.17738490825923</v>
      </c>
      <c r="H56" s="93">
        <v>44</v>
      </c>
      <c r="I56" s="93">
        <f t="shared" si="1"/>
        <v>103.7224335003816</v>
      </c>
    </row>
    <row r="57" spans="5:9">
      <c r="E57" s="93">
        <v>40.5</v>
      </c>
      <c r="F57" s="93">
        <f t="shared" si="0"/>
        <v>145.83859394524222</v>
      </c>
      <c r="H57" s="93">
        <v>45</v>
      </c>
      <c r="I57" s="93">
        <f t="shared" si="1"/>
        <v>104.41148648638375</v>
      </c>
    </row>
    <row r="58" spans="5:9">
      <c r="E58" s="93">
        <v>41.4</v>
      </c>
      <c r="F58" s="93">
        <f t="shared" si="0"/>
        <v>122.94455482758613</v>
      </c>
      <c r="H58" s="93">
        <v>46</v>
      </c>
      <c r="I58" s="93">
        <f t="shared" si="1"/>
        <v>100.81806884325063</v>
      </c>
    </row>
    <row r="59" spans="5:9">
      <c r="E59" s="93">
        <v>42.3</v>
      </c>
      <c r="F59" s="93">
        <f t="shared" si="0"/>
        <v>105.29173193177793</v>
      </c>
      <c r="H59" s="93">
        <v>47</v>
      </c>
      <c r="I59" s="93">
        <f t="shared" si="1"/>
        <v>96.227856794796409</v>
      </c>
    </row>
    <row r="60" spans="5:9">
      <c r="E60" s="93">
        <v>43.2</v>
      </c>
      <c r="F60" s="93">
        <f t="shared" si="0"/>
        <v>124.02513626800382</v>
      </c>
      <c r="H60" s="93">
        <v>48</v>
      </c>
      <c r="I60" s="93">
        <f t="shared" si="1"/>
        <v>94.463494796526817</v>
      </c>
    </row>
    <row r="61" spans="5:9">
      <c r="E61" s="93">
        <v>44.1</v>
      </c>
      <c r="F61" s="93">
        <f t="shared" si="0"/>
        <v>156.96713471149167</v>
      </c>
      <c r="H61" s="93">
        <v>49</v>
      </c>
      <c r="I61" s="93">
        <f t="shared" si="1"/>
        <v>97.848205264469129</v>
      </c>
    </row>
    <row r="62" spans="5:9">
      <c r="E62" s="93">
        <v>45</v>
      </c>
      <c r="F62" s="93">
        <f t="shared" si="0"/>
        <v>161.13797779559783</v>
      </c>
      <c r="H62" s="93">
        <v>50</v>
      </c>
      <c r="I62" s="93">
        <f t="shared" si="1"/>
        <v>105.96813062193006</v>
      </c>
    </row>
    <row r="63" spans="5:9">
      <c r="E63" s="93">
        <v>45.9</v>
      </c>
      <c r="F63" s="93">
        <f t="shared" si="0"/>
        <v>135.78032428439312</v>
      </c>
      <c r="H63" s="93">
        <v>51</v>
      </c>
      <c r="I63" s="93">
        <f t="shared" si="1"/>
        <v>115.8926965493647</v>
      </c>
    </row>
    <row r="64" spans="5:9">
      <c r="E64" s="93">
        <v>46.8</v>
      </c>
      <c r="F64" s="93">
        <f t="shared" si="0"/>
        <v>123.46933748713505</v>
      </c>
      <c r="H64" s="93">
        <v>52</v>
      </c>
      <c r="I64" s="93">
        <f t="shared" si="1"/>
        <v>123.73561073741602</v>
      </c>
    </row>
    <row r="65" spans="5:9">
      <c r="E65" s="93">
        <v>47.7</v>
      </c>
      <c r="F65" s="93">
        <f t="shared" si="0"/>
        <v>147.68052022486836</v>
      </c>
      <c r="H65" s="93">
        <v>53</v>
      </c>
      <c r="I65" s="93">
        <f t="shared" si="1"/>
        <v>126.72496714858443</v>
      </c>
    </row>
    <row r="66" spans="5:9">
      <c r="E66" s="93">
        <v>48.6</v>
      </c>
      <c r="F66" s="93">
        <f t="shared" si="0"/>
        <v>178.3650826640278</v>
      </c>
      <c r="H66" s="93">
        <v>54</v>
      </c>
      <c r="I66" s="93">
        <f t="shared" si="1"/>
        <v>124.67972994404587</v>
      </c>
    </row>
    <row r="67" spans="5:9">
      <c r="E67" s="93">
        <v>49.5</v>
      </c>
      <c r="F67" s="93">
        <f t="shared" si="0"/>
        <v>176.01271937701125</v>
      </c>
      <c r="H67" s="93">
        <v>55</v>
      </c>
      <c r="I67" s="93">
        <f t="shared" si="1"/>
        <v>120.10608738527921</v>
      </c>
    </row>
    <row r="68" spans="5:9">
      <c r="E68" s="93">
        <v>50.4</v>
      </c>
      <c r="F68" s="93">
        <f t="shared" si="0"/>
        <v>149.5886551250853</v>
      </c>
      <c r="H68" s="93">
        <v>56</v>
      </c>
      <c r="I68" s="93">
        <f t="shared" si="1"/>
        <v>116.86234871365464</v>
      </c>
    </row>
    <row r="69" spans="5:9">
      <c r="E69" s="93">
        <v>51.3</v>
      </c>
      <c r="F69" s="93">
        <f t="shared" si="0"/>
        <v>143.38675387629391</v>
      </c>
      <c r="H69" s="93">
        <v>57</v>
      </c>
      <c r="I69" s="93">
        <f t="shared" si="1"/>
        <v>118.10358112686217</v>
      </c>
    </row>
    <row r="70" spans="5:9">
      <c r="E70" s="93">
        <v>52.2</v>
      </c>
      <c r="F70" s="93">
        <f t="shared" si="0"/>
        <v>172.07713729001182</v>
      </c>
      <c r="H70" s="93">
        <v>58</v>
      </c>
      <c r="I70" s="93">
        <f t="shared" si="1"/>
        <v>124.6008598646083</v>
      </c>
    </row>
    <row r="71" spans="5:9">
      <c r="E71" s="93">
        <v>53.1</v>
      </c>
      <c r="F71" s="93">
        <f t="shared" si="0"/>
        <v>199.19372302968006</v>
      </c>
      <c r="H71" s="93">
        <v>59</v>
      </c>
      <c r="I71" s="93">
        <f t="shared" si="1"/>
        <v>134.33045143685183</v>
      </c>
    </row>
    <row r="72" spans="5:9">
      <c r="E72" s="93">
        <v>54</v>
      </c>
      <c r="F72" s="93">
        <f t="shared" si="0"/>
        <v>190.60730403789577</v>
      </c>
      <c r="H72" s="93">
        <v>60</v>
      </c>
      <c r="I72" s="93">
        <f t="shared" si="1"/>
        <v>143.55176822880739</v>
      </c>
    </row>
    <row r="73" spans="5:9">
      <c r="E73" s="93">
        <v>54.9</v>
      </c>
      <c r="F73" s="93">
        <f t="shared" si="0"/>
        <v>164.57187160233508</v>
      </c>
      <c r="H73" s="93">
        <v>61</v>
      </c>
      <c r="I73" s="93">
        <f t="shared" si="1"/>
        <v>148.79987778501268</v>
      </c>
    </row>
    <row r="74" spans="5:9">
      <c r="E74" s="93">
        <v>55.8</v>
      </c>
      <c r="F74" s="93">
        <f t="shared" si="0"/>
        <v>164.9568402108317</v>
      </c>
      <c r="H74" s="93">
        <v>62</v>
      </c>
      <c r="I74" s="93">
        <f t="shared" si="1"/>
        <v>148.7311751419054</v>
      </c>
    </row>
    <row r="75" spans="5:9">
      <c r="E75" s="93">
        <v>56.7</v>
      </c>
      <c r="F75" s="93">
        <f t="shared" si="0"/>
        <v>196.91712547753417</v>
      </c>
      <c r="H75" s="93">
        <v>63</v>
      </c>
      <c r="I75" s="93">
        <f t="shared" si="1"/>
        <v>144.83904529014856</v>
      </c>
    </row>
    <row r="76" spans="5:9">
      <c r="E76" s="93">
        <v>57.6</v>
      </c>
      <c r="F76" s="93">
        <f t="shared" si="0"/>
        <v>219.33371842754536</v>
      </c>
      <c r="H76" s="93">
        <v>64</v>
      </c>
      <c r="I76" s="93">
        <f t="shared" si="1"/>
        <v>140.65828880928123</v>
      </c>
    </row>
    <row r="77" spans="5:9">
      <c r="E77" s="93">
        <v>58.5</v>
      </c>
      <c r="F77" s="93">
        <f t="shared" ref="F77:F140" si="2">E77^1.3+25 * SIN(DEGREES(E77))</f>
        <v>205.10980901591037</v>
      </c>
      <c r="H77" s="93">
        <v>65</v>
      </c>
      <c r="I77" s="93">
        <f t="shared" ref="I77:I140" si="3">H77^1.2+10 * SIN(DEGREES(H77))</f>
        <v>139.8821058029996</v>
      </c>
    </row>
    <row r="78" spans="5:9">
      <c r="E78" s="93">
        <v>59.4</v>
      </c>
      <c r="F78" s="93">
        <f t="shared" si="2"/>
        <v>180.90492973705625</v>
      </c>
      <c r="H78" s="93">
        <v>66</v>
      </c>
      <c r="I78" s="93">
        <f t="shared" si="3"/>
        <v>144.3947035474385</v>
      </c>
    </row>
    <row r="79" spans="5:9">
      <c r="E79" s="93">
        <v>60.3</v>
      </c>
      <c r="F79" s="93">
        <f t="shared" si="2"/>
        <v>188.04143652810515</v>
      </c>
      <c r="H79" s="93">
        <v>67</v>
      </c>
      <c r="I79" s="93">
        <f t="shared" si="3"/>
        <v>153.26753974824209</v>
      </c>
    </row>
    <row r="80" spans="5:9">
      <c r="E80" s="93">
        <v>61.2</v>
      </c>
      <c r="F80" s="93">
        <f t="shared" si="2"/>
        <v>221.90960481816293</v>
      </c>
      <c r="H80" s="93">
        <v>68</v>
      </c>
      <c r="I80" s="93">
        <f t="shared" si="3"/>
        <v>163.25389340305802</v>
      </c>
    </row>
    <row r="81" spans="5:9">
      <c r="E81" s="93">
        <v>62.1</v>
      </c>
      <c r="F81" s="93">
        <f t="shared" si="2"/>
        <v>238.72699731944701</v>
      </c>
      <c r="H81" s="93">
        <v>69</v>
      </c>
      <c r="I81" s="93">
        <f t="shared" si="3"/>
        <v>170.51830981474987</v>
      </c>
    </row>
    <row r="82" spans="5:9">
      <c r="E82" s="93">
        <v>63</v>
      </c>
      <c r="F82" s="93">
        <f t="shared" si="2"/>
        <v>219.74024557031456</v>
      </c>
      <c r="H82" s="93">
        <v>70</v>
      </c>
      <c r="I82" s="93">
        <f t="shared" si="3"/>
        <v>172.67966010246582</v>
      </c>
    </row>
    <row r="83" spans="5:9">
      <c r="E83" s="93">
        <v>63.9</v>
      </c>
      <c r="F83" s="93">
        <f t="shared" si="2"/>
        <v>198.72450502988443</v>
      </c>
      <c r="H83" s="93">
        <v>71</v>
      </c>
      <c r="I83" s="93">
        <f t="shared" si="3"/>
        <v>170.07949597725229</v>
      </c>
    </row>
    <row r="84" spans="5:9">
      <c r="E84" s="93">
        <v>64.8</v>
      </c>
      <c r="F84" s="93">
        <f t="shared" si="2"/>
        <v>212.4557048434057</v>
      </c>
      <c r="H84" s="93">
        <v>72</v>
      </c>
      <c r="I84" s="93">
        <f t="shared" si="3"/>
        <v>165.60005870181487</v>
      </c>
    </row>
    <row r="85" spans="5:9">
      <c r="E85" s="93">
        <v>65.7</v>
      </c>
      <c r="F85" s="93">
        <f t="shared" si="2"/>
        <v>246.78250444685187</v>
      </c>
      <c r="H85" s="93">
        <v>73</v>
      </c>
      <c r="I85" s="93">
        <f t="shared" si="3"/>
        <v>163.12888715033711</v>
      </c>
    </row>
    <row r="86" spans="5:9">
      <c r="E86" s="93">
        <v>66.599999999999994</v>
      </c>
      <c r="F86" s="93">
        <f t="shared" si="2"/>
        <v>257.37740750564421</v>
      </c>
      <c r="H86" s="93">
        <v>74</v>
      </c>
      <c r="I86" s="93">
        <f t="shared" si="3"/>
        <v>165.4879142075273</v>
      </c>
    </row>
    <row r="87" spans="5:9">
      <c r="E87" s="93">
        <v>67.5</v>
      </c>
      <c r="F87" s="93">
        <f t="shared" si="2"/>
        <v>234.73784271655194</v>
      </c>
      <c r="H87" s="93">
        <v>75</v>
      </c>
      <c r="I87" s="93">
        <f t="shared" si="3"/>
        <v>172.9302029283472</v>
      </c>
    </row>
    <row r="88" spans="5:9">
      <c r="E88" s="93">
        <v>68.400000000000006</v>
      </c>
      <c r="F88" s="93">
        <f t="shared" si="2"/>
        <v>218.12038827172248</v>
      </c>
      <c r="H88" s="93">
        <v>76</v>
      </c>
      <c r="I88" s="93">
        <f t="shared" si="3"/>
        <v>183.0050973565501</v>
      </c>
    </row>
    <row r="89" spans="5:9">
      <c r="E89" s="93">
        <v>69.3</v>
      </c>
      <c r="F89" s="93">
        <f t="shared" si="2"/>
        <v>237.9751563582046</v>
      </c>
      <c r="H89" s="93">
        <v>77</v>
      </c>
      <c r="I89" s="93">
        <f t="shared" si="3"/>
        <v>191.86362088969585</v>
      </c>
    </row>
    <row r="90" spans="5:9">
      <c r="E90" s="93">
        <v>70.2</v>
      </c>
      <c r="F90" s="93">
        <f t="shared" si="2"/>
        <v>271.29388132894985</v>
      </c>
      <c r="H90" s="93">
        <v>78</v>
      </c>
      <c r="I90" s="93">
        <f t="shared" si="3"/>
        <v>196.30874834286755</v>
      </c>
    </row>
    <row r="91" spans="5:9">
      <c r="E91" s="93">
        <v>71.099999999999994</v>
      </c>
      <c r="F91" s="93">
        <f t="shared" si="2"/>
        <v>275.3487514917029</v>
      </c>
      <c r="H91" s="93">
        <v>79</v>
      </c>
      <c r="I91" s="93">
        <f t="shared" si="3"/>
        <v>195.49839043699217</v>
      </c>
    </row>
    <row r="92" spans="5:9">
      <c r="E92" s="93">
        <v>72</v>
      </c>
      <c r="F92" s="93">
        <f t="shared" si="2"/>
        <v>250.34775687143619</v>
      </c>
      <c r="H92" s="93">
        <v>80</v>
      </c>
      <c r="I92" s="93">
        <f t="shared" si="3"/>
        <v>191.39392636474685</v>
      </c>
    </row>
    <row r="93" spans="5:9">
      <c r="E93" s="93">
        <v>72.900000000000006</v>
      </c>
      <c r="F93" s="93">
        <f t="shared" si="2"/>
        <v>239.12948522539344</v>
      </c>
      <c r="H93" s="93">
        <v>81</v>
      </c>
      <c r="I93" s="93">
        <f t="shared" si="3"/>
        <v>187.71535519109969</v>
      </c>
    </row>
    <row r="94" spans="5:9">
      <c r="E94" s="93">
        <v>73.8</v>
      </c>
      <c r="F94" s="93">
        <f t="shared" si="2"/>
        <v>264.34491370014194</v>
      </c>
      <c r="H94" s="93">
        <v>82</v>
      </c>
      <c r="I94" s="93">
        <f t="shared" si="3"/>
        <v>187.95964737893141</v>
      </c>
    </row>
    <row r="95" spans="5:9">
      <c r="E95" s="93">
        <v>74.7</v>
      </c>
      <c r="F95" s="93">
        <f t="shared" si="2"/>
        <v>295.24208038451678</v>
      </c>
      <c r="H95" s="93">
        <v>83</v>
      </c>
      <c r="I95" s="93">
        <f t="shared" si="3"/>
        <v>193.53790248436124</v>
      </c>
    </row>
    <row r="96" spans="5:9">
      <c r="E96" s="93">
        <v>75.599999999999994</v>
      </c>
      <c r="F96" s="93">
        <f t="shared" si="2"/>
        <v>292.76020392323932</v>
      </c>
      <c r="H96" s="93">
        <v>84</v>
      </c>
      <c r="I96" s="93">
        <f t="shared" si="3"/>
        <v>203.02363210439421</v>
      </c>
    </row>
    <row r="97" spans="5:9">
      <c r="E97" s="93">
        <v>76.5</v>
      </c>
      <c r="F97" s="93">
        <f t="shared" si="2"/>
        <v>266.8077626156275</v>
      </c>
      <c r="H97" s="93">
        <v>85</v>
      </c>
      <c r="I97" s="93">
        <f t="shared" si="3"/>
        <v>212.91260086900405</v>
      </c>
    </row>
    <row r="98" spans="5:9">
      <c r="E98" s="93">
        <v>77.400000000000006</v>
      </c>
      <c r="F98" s="93">
        <f t="shared" si="2"/>
        <v>261.73262905222282</v>
      </c>
      <c r="H98" s="93">
        <v>86</v>
      </c>
      <c r="I98" s="93">
        <f t="shared" si="3"/>
        <v>219.48946508152733</v>
      </c>
    </row>
    <row r="99" spans="5:9">
      <c r="E99" s="93">
        <v>78.3</v>
      </c>
      <c r="F99" s="93">
        <f t="shared" si="2"/>
        <v>291.29068442463466</v>
      </c>
      <c r="H99" s="93">
        <v>87</v>
      </c>
      <c r="I99" s="93">
        <f t="shared" si="3"/>
        <v>220.8068675958001</v>
      </c>
    </row>
    <row r="100" spans="5:9">
      <c r="E100" s="93">
        <v>79.2</v>
      </c>
      <c r="F100" s="93">
        <f t="shared" si="2"/>
        <v>318.47417411315405</v>
      </c>
      <c r="H100" s="93">
        <v>88</v>
      </c>
      <c r="I100" s="93">
        <f t="shared" si="3"/>
        <v>217.72274310754801</v>
      </c>
    </row>
    <row r="101" spans="5:9">
      <c r="E101" s="93">
        <v>80.099999999999994</v>
      </c>
      <c r="F101" s="93">
        <f t="shared" si="2"/>
        <v>309.77926736621379</v>
      </c>
      <c r="H101" s="93">
        <v>89</v>
      </c>
      <c r="I101" s="93">
        <f t="shared" si="3"/>
        <v>213.44327076469074</v>
      </c>
    </row>
    <row r="102" spans="5:9">
      <c r="E102" s="93">
        <v>81</v>
      </c>
      <c r="F102" s="93">
        <f t="shared" si="2"/>
        <v>284.33550753497991</v>
      </c>
      <c r="H102" s="93">
        <v>90</v>
      </c>
      <c r="I102" s="93">
        <f t="shared" si="3"/>
        <v>211.81493905171453</v>
      </c>
    </row>
    <row r="103" spans="5:9">
      <c r="E103" s="93">
        <v>81.900000000000006</v>
      </c>
      <c r="F103" s="93">
        <f t="shared" si="2"/>
        <v>285.85430279534143</v>
      </c>
      <c r="H103" s="93">
        <v>91</v>
      </c>
      <c r="I103" s="93">
        <f t="shared" si="3"/>
        <v>215.27552439134632</v>
      </c>
    </row>
    <row r="104" spans="5:9">
      <c r="E104" s="93">
        <v>82.8</v>
      </c>
      <c r="F104" s="93">
        <f t="shared" si="2"/>
        <v>318.5308616618492</v>
      </c>
      <c r="H104" s="93">
        <v>92</v>
      </c>
      <c r="I104" s="93">
        <f t="shared" si="3"/>
        <v>223.55547846105702</v>
      </c>
    </row>
    <row r="105" spans="5:9">
      <c r="E105" s="93">
        <v>83.7</v>
      </c>
      <c r="F105" s="93">
        <f t="shared" si="2"/>
        <v>340.89222364712731</v>
      </c>
      <c r="H105" s="93">
        <v>93</v>
      </c>
      <c r="I105" s="93">
        <f t="shared" si="3"/>
        <v>233.8214833416732</v>
      </c>
    </row>
    <row r="106" spans="5:9">
      <c r="E106" s="93">
        <v>84.6</v>
      </c>
      <c r="F106" s="93">
        <f t="shared" si="2"/>
        <v>326.61256070599995</v>
      </c>
      <c r="H106" s="93">
        <v>94</v>
      </c>
      <c r="I106" s="93">
        <f t="shared" si="3"/>
        <v>242.18570396021451</v>
      </c>
    </row>
    <row r="107" spans="5:9">
      <c r="E107" s="93">
        <v>85.5</v>
      </c>
      <c r="F107" s="93">
        <f t="shared" si="2"/>
        <v>303.11690417252589</v>
      </c>
      <c r="H107" s="93">
        <v>95</v>
      </c>
      <c r="I107" s="93">
        <f t="shared" si="3"/>
        <v>245.77677279215783</v>
      </c>
    </row>
    <row r="108" spans="5:9">
      <c r="E108" s="93">
        <v>86.4</v>
      </c>
      <c r="F108" s="93">
        <f t="shared" si="2"/>
        <v>311.36524441007055</v>
      </c>
      <c r="H108" s="93">
        <v>96</v>
      </c>
      <c r="I108" s="93">
        <f t="shared" si="3"/>
        <v>244.26931213574221</v>
      </c>
    </row>
    <row r="109" spans="5:9">
      <c r="E109" s="93">
        <v>87.3</v>
      </c>
      <c r="F109" s="93">
        <f t="shared" si="2"/>
        <v>345.78912798280135</v>
      </c>
      <c r="H109" s="93">
        <v>97</v>
      </c>
      <c r="I109" s="93">
        <f t="shared" si="3"/>
        <v>240.05723137053778</v>
      </c>
    </row>
    <row r="110" spans="5:9">
      <c r="E110" s="93">
        <v>88.2</v>
      </c>
      <c r="F110" s="93">
        <f t="shared" si="2"/>
        <v>362.45702215659196</v>
      </c>
      <c r="H110" s="93">
        <v>98</v>
      </c>
      <c r="I110" s="93">
        <f t="shared" si="3"/>
        <v>236.97848531445302</v>
      </c>
    </row>
    <row r="111" spans="5:9">
      <c r="E111" s="93">
        <v>89.1</v>
      </c>
      <c r="F111" s="93">
        <f t="shared" si="2"/>
        <v>343.49485185785051</v>
      </c>
      <c r="H111" s="93">
        <v>99</v>
      </c>
      <c r="I111" s="93">
        <f t="shared" si="3"/>
        <v>238.27060326063764</v>
      </c>
    </row>
    <row r="112" spans="5:9">
      <c r="E112" s="93">
        <v>90</v>
      </c>
      <c r="F112" s="93">
        <f t="shared" si="2"/>
        <v>323.29618871359344</v>
      </c>
      <c r="H112" s="93">
        <v>100</v>
      </c>
      <c r="I112" s="93">
        <f t="shared" si="3"/>
        <v>244.84605972216303</v>
      </c>
    </row>
    <row r="113" spans="5:9">
      <c r="E113" s="93">
        <v>90.9</v>
      </c>
      <c r="F113" s="93">
        <f t="shared" si="2"/>
        <v>338.08777811188025</v>
      </c>
      <c r="H113" s="93">
        <v>101</v>
      </c>
      <c r="I113" s="93">
        <f t="shared" si="3"/>
        <v>254.80618115116474</v>
      </c>
    </row>
    <row r="114" spans="5:9">
      <c r="E114" s="93">
        <v>91.8</v>
      </c>
      <c r="F114" s="93">
        <f t="shared" si="2"/>
        <v>372.80692417564262</v>
      </c>
      <c r="H114" s="93">
        <v>102</v>
      </c>
      <c r="I114" s="93">
        <f t="shared" si="3"/>
        <v>264.45252607772545</v>
      </c>
    </row>
    <row r="115" spans="5:9">
      <c r="E115" s="93">
        <v>92.7</v>
      </c>
      <c r="F115" s="93">
        <f t="shared" si="2"/>
        <v>383.18911259343287</v>
      </c>
      <c r="H115" s="93">
        <v>103</v>
      </c>
      <c r="I115" s="93">
        <f t="shared" si="3"/>
        <v>270.25698567593315</v>
      </c>
    </row>
    <row r="116" spans="5:9">
      <c r="E116" s="93">
        <v>93.6</v>
      </c>
      <c r="F116" s="93">
        <f t="shared" si="2"/>
        <v>360.67684002071138</v>
      </c>
      <c r="H116" s="93">
        <v>104</v>
      </c>
      <c r="I116" s="93">
        <f t="shared" si="3"/>
        <v>270.74115013407379</v>
      </c>
    </row>
    <row r="117" spans="5:9">
      <c r="E117" s="93">
        <v>94.5</v>
      </c>
      <c r="F117" s="93">
        <f t="shared" si="2"/>
        <v>344.96810337328589</v>
      </c>
      <c r="H117" s="93">
        <v>105</v>
      </c>
      <c r="I117" s="93">
        <f t="shared" si="3"/>
        <v>267.26381948531775</v>
      </c>
    </row>
    <row r="118" spans="5:9">
      <c r="E118" s="93">
        <v>95.4</v>
      </c>
      <c r="F118" s="93">
        <f t="shared" si="2"/>
        <v>365.80359133931427</v>
      </c>
      <c r="H118" s="93">
        <v>106</v>
      </c>
      <c r="I118" s="93">
        <f t="shared" si="3"/>
        <v>263.29715904717983</v>
      </c>
    </row>
    <row r="119" spans="5:9">
      <c r="E119" s="93">
        <v>96.3</v>
      </c>
      <c r="F119" s="93">
        <f t="shared" si="2"/>
        <v>399.35515809038355</v>
      </c>
      <c r="H119" s="93">
        <v>107</v>
      </c>
      <c r="I119" s="93">
        <f t="shared" si="3"/>
        <v>262.57708485664369</v>
      </c>
    </row>
    <row r="120" spans="5:9">
      <c r="E120" s="93">
        <v>97.2</v>
      </c>
      <c r="F120" s="93">
        <f t="shared" si="2"/>
        <v>403.16701010395383</v>
      </c>
      <c r="H120" s="93">
        <v>108</v>
      </c>
      <c r="I120" s="93">
        <f t="shared" si="3"/>
        <v>267.11315190572611</v>
      </c>
    </row>
    <row r="121" spans="5:9">
      <c r="E121" s="93">
        <v>98.1</v>
      </c>
      <c r="F121" s="93">
        <f t="shared" si="2"/>
        <v>378.41225924418393</v>
      </c>
      <c r="H121" s="93">
        <v>109</v>
      </c>
      <c r="I121" s="93">
        <f t="shared" si="3"/>
        <v>276.1180595602122</v>
      </c>
    </row>
    <row r="122" spans="5:9">
      <c r="E122" s="93">
        <v>99</v>
      </c>
      <c r="F122" s="93">
        <f t="shared" si="2"/>
        <v>368.17256234081066</v>
      </c>
      <c r="H122" s="93">
        <v>110</v>
      </c>
      <c r="I122" s="93">
        <f t="shared" si="3"/>
        <v>286.42701685512714</v>
      </c>
    </row>
    <row r="123" spans="5:9">
      <c r="E123" s="93">
        <v>99.9</v>
      </c>
      <c r="F123" s="93">
        <f t="shared" si="2"/>
        <v>394.26356357387482</v>
      </c>
      <c r="H123" s="93">
        <v>111</v>
      </c>
      <c r="I123" s="93">
        <f t="shared" si="3"/>
        <v>294.18357558749466</v>
      </c>
    </row>
    <row r="124" spans="5:9">
      <c r="E124" s="93">
        <v>100.8</v>
      </c>
      <c r="F124" s="93">
        <f t="shared" si="2"/>
        <v>425.24457041589915</v>
      </c>
      <c r="H124" s="93">
        <v>112</v>
      </c>
      <c r="I124" s="93">
        <f t="shared" si="3"/>
        <v>296.8939032779565</v>
      </c>
    </row>
    <row r="125" spans="5:9">
      <c r="E125" s="93">
        <v>101.7</v>
      </c>
      <c r="F125" s="93">
        <f t="shared" si="2"/>
        <v>422.52269931635732</v>
      </c>
      <c r="H125" s="93">
        <v>113</v>
      </c>
      <c r="I125" s="93">
        <f t="shared" si="3"/>
        <v>294.75520351403179</v>
      </c>
    </row>
    <row r="126" spans="5:9">
      <c r="E126" s="93">
        <v>102.6</v>
      </c>
      <c r="F126" s="93">
        <f t="shared" si="2"/>
        <v>396.94491225284406</v>
      </c>
      <c r="H126" s="93">
        <v>114</v>
      </c>
      <c r="I126" s="93">
        <f t="shared" si="3"/>
        <v>290.55064626037813</v>
      </c>
    </row>
    <row r="127" spans="5:9">
      <c r="E127" s="93">
        <v>103.5</v>
      </c>
      <c r="F127" s="93">
        <f t="shared" si="2"/>
        <v>392.89204504009086</v>
      </c>
      <c r="H127" s="93">
        <v>115</v>
      </c>
      <c r="I127" s="93">
        <f t="shared" si="3"/>
        <v>288.16677779328296</v>
      </c>
    </row>
    <row r="128" spans="5:9">
      <c r="E128" s="93">
        <v>104.4</v>
      </c>
      <c r="F128" s="93">
        <f t="shared" si="2"/>
        <v>423.19915780449196</v>
      </c>
      <c r="H128" s="93">
        <v>116</v>
      </c>
      <c r="I128" s="93">
        <f t="shared" si="3"/>
        <v>290.52317246231723</v>
      </c>
    </row>
    <row r="129" spans="5:9">
      <c r="E129" s="93">
        <v>105.3</v>
      </c>
      <c r="F129" s="93">
        <f t="shared" si="2"/>
        <v>450.33424283008173</v>
      </c>
      <c r="H129" s="93">
        <v>117</v>
      </c>
      <c r="I129" s="93">
        <f t="shared" si="3"/>
        <v>298.01718190250278</v>
      </c>
    </row>
    <row r="130" spans="5:9">
      <c r="E130" s="93">
        <v>106.2</v>
      </c>
      <c r="F130" s="93">
        <f t="shared" si="2"/>
        <v>441.43461194193736</v>
      </c>
      <c r="H130" s="93">
        <v>118</v>
      </c>
      <c r="I130" s="93">
        <f t="shared" si="3"/>
        <v>308.31224960480677</v>
      </c>
    </row>
    <row r="131" spans="5:9">
      <c r="E131" s="93">
        <v>107.1</v>
      </c>
      <c r="F131" s="93">
        <f t="shared" si="2"/>
        <v>416.49625002859227</v>
      </c>
      <c r="H131" s="93">
        <v>119</v>
      </c>
      <c r="I131" s="93">
        <f t="shared" si="3"/>
        <v>317.58255373583586</v>
      </c>
    </row>
    <row r="132" spans="5:9">
      <c r="E132" s="93">
        <v>108</v>
      </c>
      <c r="F132" s="93">
        <f t="shared" si="2"/>
        <v>419.05183150378218</v>
      </c>
      <c r="H132" s="93">
        <v>120</v>
      </c>
      <c r="I132" s="93">
        <f t="shared" si="3"/>
        <v>322.55096831671864</v>
      </c>
    </row>
    <row r="133" spans="5:9">
      <c r="E133" s="93">
        <v>108.9</v>
      </c>
      <c r="F133" s="93">
        <f t="shared" si="2"/>
        <v>452.33481264114948</v>
      </c>
      <c r="H133" s="93">
        <v>121</v>
      </c>
      <c r="I133" s="93">
        <f t="shared" si="3"/>
        <v>322.23473941408054</v>
      </c>
    </row>
    <row r="134" spans="5:9">
      <c r="E134" s="93">
        <v>109.8</v>
      </c>
      <c r="F134" s="93">
        <f t="shared" si="2"/>
        <v>474.53782650813343</v>
      </c>
      <c r="H134" s="93">
        <v>122</v>
      </c>
      <c r="I134" s="93">
        <f t="shared" si="3"/>
        <v>318.46897054453814</v>
      </c>
    </row>
    <row r="135" spans="5:9">
      <c r="E135" s="93">
        <v>110.7</v>
      </c>
      <c r="F135" s="93">
        <f t="shared" si="2"/>
        <v>460.11841455744951</v>
      </c>
      <c r="H135" s="93">
        <v>123</v>
      </c>
      <c r="I135" s="93">
        <f t="shared" si="3"/>
        <v>314.92906138376179</v>
      </c>
    </row>
    <row r="136" spans="5:9">
      <c r="E136" s="93">
        <v>111.6</v>
      </c>
      <c r="F136" s="93">
        <f t="shared" si="2"/>
        <v>437.25408862107287</v>
      </c>
      <c r="H136" s="93">
        <v>124</v>
      </c>
      <c r="I136" s="93">
        <f t="shared" si="3"/>
        <v>315.17283776100197</v>
      </c>
    </row>
    <row r="137" spans="5:9">
      <c r="E137" s="93">
        <v>112.5</v>
      </c>
      <c r="F137" s="93">
        <f t="shared" si="2"/>
        <v>446.52305938985654</v>
      </c>
      <c r="H137" s="93">
        <v>125</v>
      </c>
      <c r="I137" s="93">
        <f t="shared" si="3"/>
        <v>320.74531243507602</v>
      </c>
    </row>
    <row r="138" spans="5:9">
      <c r="E138" s="93">
        <v>113.4</v>
      </c>
      <c r="F138" s="93">
        <f t="shared" si="2"/>
        <v>481.4007267905622</v>
      </c>
      <c r="H138" s="93">
        <v>126</v>
      </c>
      <c r="I138" s="93">
        <f t="shared" si="3"/>
        <v>330.3556533017092</v>
      </c>
    </row>
    <row r="139" spans="5:9">
      <c r="E139" s="93">
        <v>114.3</v>
      </c>
      <c r="F139" s="93">
        <f t="shared" si="2"/>
        <v>497.8271812834567</v>
      </c>
      <c r="H139" s="93">
        <v>127</v>
      </c>
      <c r="I139" s="93">
        <f t="shared" si="3"/>
        <v>340.56478055883036</v>
      </c>
    </row>
    <row r="140" spans="5:9">
      <c r="E140" s="93">
        <v>115.2</v>
      </c>
      <c r="F140" s="93">
        <f t="shared" si="2"/>
        <v>478.81604429310056</v>
      </c>
      <c r="H140" s="93">
        <v>128</v>
      </c>
      <c r="I140" s="93">
        <f t="shared" si="3"/>
        <v>347.6173160830005</v>
      </c>
    </row>
    <row r="141" spans="5:9">
      <c r="E141" s="93">
        <v>116.1</v>
      </c>
      <c r="F141" s="93">
        <f t="shared" ref="F141:F204" si="4">E141^1.3+25 * SIN(DEGREES(E141))</f>
        <v>459.36300143652858</v>
      </c>
      <c r="H141" s="93">
        <v>129</v>
      </c>
      <c r="I141" s="93">
        <f t="shared" ref="I141:I204" si="5">H141^1.2+10 * SIN(DEGREES(H141))</f>
        <v>349.44202228040973</v>
      </c>
    </row>
    <row r="142" spans="5:9">
      <c r="E142" s="93">
        <v>117</v>
      </c>
      <c r="F142" s="93">
        <f t="shared" si="4"/>
        <v>475.12844735676481</v>
      </c>
      <c r="H142" s="93">
        <v>130</v>
      </c>
      <c r="I142" s="93">
        <f t="shared" si="5"/>
        <v>346.75511486904134</v>
      </c>
    </row>
    <row r="143" spans="5:9">
      <c r="E143" s="93">
        <v>117.9</v>
      </c>
      <c r="F143" s="93">
        <f t="shared" si="4"/>
        <v>510.14541024570173</v>
      </c>
      <c r="H143" s="93">
        <v>131</v>
      </c>
      <c r="I143" s="93">
        <f t="shared" si="5"/>
        <v>342.67872492660649</v>
      </c>
    </row>
    <row r="144" spans="5:9">
      <c r="E144" s="93">
        <v>118.8</v>
      </c>
      <c r="F144" s="93">
        <f t="shared" si="4"/>
        <v>520.23324257943545</v>
      </c>
      <c r="H144" s="93">
        <v>132</v>
      </c>
      <c r="I144" s="93">
        <f t="shared" si="5"/>
        <v>341.0777519878543</v>
      </c>
    </row>
    <row r="145" spans="5:9">
      <c r="E145" s="93">
        <v>119.7</v>
      </c>
      <c r="F145" s="93">
        <f t="shared" si="4"/>
        <v>497.78351638635911</v>
      </c>
      <c r="H145" s="93">
        <v>133</v>
      </c>
      <c r="I145" s="93">
        <f t="shared" si="5"/>
        <v>344.50105137868985</v>
      </c>
    </row>
    <row r="146" spans="5:9">
      <c r="E146" s="93">
        <v>120.6</v>
      </c>
      <c r="F146" s="93">
        <f t="shared" si="4"/>
        <v>482.91684557774653</v>
      </c>
      <c r="H146" s="93">
        <v>134</v>
      </c>
      <c r="I146" s="93">
        <f t="shared" si="5"/>
        <v>352.82366651946205</v>
      </c>
    </row>
    <row r="147" spans="5:9">
      <c r="E147" s="93">
        <v>121.5</v>
      </c>
      <c r="F147" s="93">
        <f t="shared" si="4"/>
        <v>504.65040182488474</v>
      </c>
      <c r="H147" s="93">
        <v>135</v>
      </c>
      <c r="I147" s="93">
        <f t="shared" si="5"/>
        <v>363.31337666622187</v>
      </c>
    </row>
    <row r="148" spans="5:9">
      <c r="E148" s="93">
        <v>122.4</v>
      </c>
      <c r="F148" s="93">
        <f t="shared" si="4"/>
        <v>538.34738908443956</v>
      </c>
      <c r="H148" s="93">
        <v>136</v>
      </c>
      <c r="I148" s="93">
        <f t="shared" si="5"/>
        <v>372.08611071043231</v>
      </c>
    </row>
    <row r="149" spans="5:9">
      <c r="E149" s="93">
        <v>123.3</v>
      </c>
      <c r="F149" s="93">
        <f t="shared" si="4"/>
        <v>541.84406855874806</v>
      </c>
      <c r="H149" s="93">
        <v>137</v>
      </c>
      <c r="I149" s="93">
        <f t="shared" si="5"/>
        <v>376.17494137059867</v>
      </c>
    </row>
    <row r="150" spans="5:9">
      <c r="E150" s="93">
        <v>124.2</v>
      </c>
      <c r="F150" s="93">
        <f t="shared" si="4"/>
        <v>517.27808812370233</v>
      </c>
      <c r="H150" s="93">
        <v>138</v>
      </c>
      <c r="I150" s="93">
        <f t="shared" si="5"/>
        <v>375.11052542856856</v>
      </c>
    </row>
    <row r="151" spans="5:9">
      <c r="E151" s="93">
        <v>125.1</v>
      </c>
      <c r="F151" s="93">
        <f t="shared" si="4"/>
        <v>507.9537786388355</v>
      </c>
      <c r="H151" s="93">
        <v>139</v>
      </c>
      <c r="I151" s="93">
        <f t="shared" si="5"/>
        <v>371.17110390128664</v>
      </c>
    </row>
    <row r="152" spans="5:9">
      <c r="E152" s="93">
        <v>126</v>
      </c>
      <c r="F152" s="93">
        <f t="shared" si="4"/>
        <v>534.84110986750557</v>
      </c>
      <c r="H152" s="93">
        <v>140</v>
      </c>
      <c r="I152" s="93">
        <f t="shared" si="5"/>
        <v>368.16888933178592</v>
      </c>
    </row>
    <row r="153" spans="5:9">
      <c r="E153" s="93">
        <v>126.9</v>
      </c>
      <c r="F153" s="93">
        <f t="shared" si="4"/>
        <v>565.82549271137725</v>
      </c>
      <c r="H153" s="93">
        <v>141</v>
      </c>
      <c r="I153" s="93">
        <f t="shared" si="5"/>
        <v>369.4193206211898</v>
      </c>
    </row>
    <row r="154" spans="5:9">
      <c r="E154" s="93">
        <v>127.8</v>
      </c>
      <c r="F154" s="93">
        <f t="shared" si="4"/>
        <v>562.80015731101798</v>
      </c>
      <c r="H154" s="93">
        <v>142</v>
      </c>
      <c r="I154" s="93">
        <f t="shared" si="5"/>
        <v>375.97494483483888</v>
      </c>
    </row>
    <row r="155" spans="5:9">
      <c r="E155" s="93">
        <v>128.69999999999999</v>
      </c>
      <c r="F155" s="93">
        <f t="shared" si="4"/>
        <v>537.5453957312892</v>
      </c>
      <c r="H155" s="93">
        <v>143</v>
      </c>
      <c r="I155" s="93">
        <f t="shared" si="5"/>
        <v>386.06472103920146</v>
      </c>
    </row>
    <row r="156" spans="5:9">
      <c r="E156" s="93">
        <v>129.6</v>
      </c>
      <c r="F156" s="93">
        <f t="shared" si="4"/>
        <v>534.45400271683945</v>
      </c>
      <c r="H156" s="93">
        <v>144</v>
      </c>
      <c r="I156" s="93">
        <f t="shared" si="5"/>
        <v>396.03742390020813</v>
      </c>
    </row>
    <row r="157" spans="5:9">
      <c r="E157" s="93">
        <v>130.5</v>
      </c>
      <c r="F157" s="93">
        <f t="shared" si="4"/>
        <v>565.43412569608097</v>
      </c>
      <c r="H157" s="93">
        <v>145</v>
      </c>
      <c r="I157" s="93">
        <f t="shared" si="5"/>
        <v>402.30660454376635</v>
      </c>
    </row>
    <row r="158" spans="5:9">
      <c r="E158" s="93">
        <v>131.4</v>
      </c>
      <c r="F158" s="93">
        <f t="shared" si="4"/>
        <v>592.44722174699132</v>
      </c>
      <c r="H158" s="93">
        <v>146</v>
      </c>
      <c r="I158" s="93">
        <f t="shared" si="5"/>
        <v>403.26104575659775</v>
      </c>
    </row>
    <row r="159" spans="5:9">
      <c r="E159" s="93">
        <v>132.30000000000001</v>
      </c>
      <c r="F159" s="93">
        <f t="shared" si="4"/>
        <v>583.28725673577151</v>
      </c>
      <c r="H159" s="93">
        <v>147</v>
      </c>
      <c r="I159" s="93">
        <f t="shared" si="5"/>
        <v>400.123029456121</v>
      </c>
    </row>
    <row r="160" spans="5:9">
      <c r="E160" s="93">
        <v>133.19999999999999</v>
      </c>
      <c r="F160" s="93">
        <f t="shared" si="4"/>
        <v>558.80718279972359</v>
      </c>
      <c r="H160" s="93">
        <v>148</v>
      </c>
      <c r="I160" s="93">
        <f t="shared" si="5"/>
        <v>396.29722516983196</v>
      </c>
    </row>
    <row r="161" spans="5:9">
      <c r="E161" s="93">
        <v>134.1</v>
      </c>
      <c r="F161" s="93">
        <f t="shared" si="4"/>
        <v>562.34034113307678</v>
      </c>
      <c r="H161" s="93">
        <v>149</v>
      </c>
      <c r="I161" s="93">
        <f t="shared" si="5"/>
        <v>395.55704069182883</v>
      </c>
    </row>
    <row r="162" spans="5:9">
      <c r="E162" s="93">
        <v>135</v>
      </c>
      <c r="F162" s="93">
        <f t="shared" si="4"/>
        <v>596.15688659466821</v>
      </c>
      <c r="H162" s="93">
        <v>150</v>
      </c>
      <c r="I162" s="93">
        <f t="shared" si="5"/>
        <v>400.03454938388614</v>
      </c>
    </row>
    <row r="163" spans="5:9">
      <c r="E163" s="93">
        <v>135.9</v>
      </c>
      <c r="F163" s="93">
        <f t="shared" si="4"/>
        <v>618.13478826357925</v>
      </c>
      <c r="H163" s="93">
        <v>151</v>
      </c>
      <c r="I163" s="93">
        <f t="shared" si="5"/>
        <v>409.08474151915203</v>
      </c>
    </row>
    <row r="164" spans="5:9">
      <c r="E164" s="93">
        <v>136.80000000000001</v>
      </c>
      <c r="F164" s="93">
        <f t="shared" si="4"/>
        <v>603.5270116935493</v>
      </c>
      <c r="H164" s="93">
        <v>152</v>
      </c>
      <c r="I164" s="93">
        <f t="shared" si="5"/>
        <v>419.62910262025645</v>
      </c>
    </row>
    <row r="165" spans="5:9">
      <c r="E165" s="93">
        <v>137.69999999999999</v>
      </c>
      <c r="F165" s="93">
        <f t="shared" si="4"/>
        <v>581.25021078524492</v>
      </c>
      <c r="H165" s="93">
        <v>153</v>
      </c>
      <c r="I165" s="93">
        <f t="shared" si="5"/>
        <v>427.79549774069562</v>
      </c>
    </row>
    <row r="166" spans="5:9">
      <c r="E166" s="93">
        <v>138.6</v>
      </c>
      <c r="F166" s="93">
        <f t="shared" si="4"/>
        <v>591.48161685158243</v>
      </c>
      <c r="H166" s="93">
        <v>154</v>
      </c>
      <c r="I166" s="93">
        <f t="shared" si="5"/>
        <v>430.98081028073608</v>
      </c>
    </row>
    <row r="167" spans="5:9">
      <c r="E167" s="93">
        <v>139.5</v>
      </c>
      <c r="F167" s="93">
        <f t="shared" si="4"/>
        <v>626.74354971761272</v>
      </c>
      <c r="H167" s="93">
        <v>155</v>
      </c>
      <c r="I167" s="93">
        <f t="shared" si="5"/>
        <v>429.23758644285067</v>
      </c>
    </row>
    <row r="168" spans="5:9">
      <c r="E168" s="93">
        <v>140.4</v>
      </c>
      <c r="F168" s="93">
        <f t="shared" si="4"/>
        <v>642.86853319801787</v>
      </c>
      <c r="H168" s="93">
        <v>156</v>
      </c>
      <c r="I168" s="93">
        <f t="shared" si="5"/>
        <v>425.24603246459105</v>
      </c>
    </row>
    <row r="169" spans="5:9">
      <c r="E169" s="93">
        <v>141.30000000000001</v>
      </c>
      <c r="F169" s="93">
        <f t="shared" si="4"/>
        <v>623.76589812888415</v>
      </c>
      <c r="H169" s="93">
        <v>157</v>
      </c>
      <c r="I169" s="93">
        <f t="shared" si="5"/>
        <v>422.88628144510005</v>
      </c>
    </row>
    <row r="170" spans="5:9">
      <c r="E170" s="93">
        <v>142.19999999999999</v>
      </c>
      <c r="F170" s="93">
        <f t="shared" si="4"/>
        <v>605.01688540376745</v>
      </c>
      <c r="H170" s="93">
        <v>158</v>
      </c>
      <c r="I170" s="93">
        <f t="shared" si="5"/>
        <v>425.17147020777276</v>
      </c>
    </row>
    <row r="171" spans="5:9">
      <c r="E171" s="93">
        <v>143.1</v>
      </c>
      <c r="F171" s="93">
        <f t="shared" si="4"/>
        <v>621.69866647474623</v>
      </c>
      <c r="H171" s="93">
        <v>159</v>
      </c>
      <c r="I171" s="93">
        <f t="shared" si="5"/>
        <v>432.64265730792459</v>
      </c>
    </row>
    <row r="172" spans="5:9">
      <c r="E172" s="93">
        <v>144</v>
      </c>
      <c r="F172" s="93">
        <f t="shared" si="4"/>
        <v>656.94752607348016</v>
      </c>
      <c r="H172" s="93">
        <v>160</v>
      </c>
      <c r="I172" s="93">
        <f t="shared" si="5"/>
        <v>443.08059472702377</v>
      </c>
    </row>
    <row r="173" spans="5:9">
      <c r="E173" s="93">
        <v>144.9</v>
      </c>
      <c r="F173" s="93">
        <f t="shared" si="4"/>
        <v>666.68755309146047</v>
      </c>
      <c r="H173" s="93">
        <v>161</v>
      </c>
      <c r="I173" s="93">
        <f t="shared" si="5"/>
        <v>452.68788984190195</v>
      </c>
    </row>
    <row r="174" spans="5:9">
      <c r="E174" s="93">
        <v>145.80000000000001</v>
      </c>
      <c r="F174" s="93">
        <f t="shared" si="4"/>
        <v>644.26297715375631</v>
      </c>
      <c r="H174" s="93">
        <v>162</v>
      </c>
      <c r="I174" s="93">
        <f t="shared" si="5"/>
        <v>458.11183076336499</v>
      </c>
    </row>
    <row r="175" spans="5:9">
      <c r="E175" s="93">
        <v>146.69999999999999</v>
      </c>
      <c r="F175" s="93">
        <f t="shared" si="4"/>
        <v>630.19805009804338</v>
      </c>
      <c r="H175" s="93">
        <v>163</v>
      </c>
      <c r="I175" s="93">
        <f t="shared" si="5"/>
        <v>458.23033442607209</v>
      </c>
    </row>
    <row r="176" spans="5:9">
      <c r="E176" s="93">
        <v>147.6</v>
      </c>
      <c r="F176" s="93">
        <f t="shared" si="4"/>
        <v>652.77269654560678</v>
      </c>
      <c r="H176" s="93">
        <v>164</v>
      </c>
      <c r="I176" s="93">
        <f t="shared" si="5"/>
        <v>454.74965916238818</v>
      </c>
    </row>
    <row r="177" spans="5:9">
      <c r="E177" s="93">
        <v>148.5</v>
      </c>
      <c r="F177" s="93">
        <f t="shared" si="4"/>
        <v>686.55310302552505</v>
      </c>
      <c r="H177" s="93">
        <v>165</v>
      </c>
      <c r="I177" s="93">
        <f t="shared" si="5"/>
        <v>451.29548571933015</v>
      </c>
    </row>
    <row r="178" spans="5:9">
      <c r="E178" s="93">
        <v>149.4</v>
      </c>
      <c r="F178" s="93">
        <f t="shared" si="4"/>
        <v>689.68750367401901</v>
      </c>
      <c r="H178" s="93">
        <v>166</v>
      </c>
      <c r="I178" s="93">
        <f t="shared" si="5"/>
        <v>451.48153957228391</v>
      </c>
    </row>
    <row r="179" spans="5:9">
      <c r="E179" s="93">
        <v>150.30000000000001</v>
      </c>
      <c r="F179" s="93">
        <f t="shared" si="4"/>
        <v>665.2770595046029</v>
      </c>
      <c r="H179" s="93">
        <v>167</v>
      </c>
      <c r="I179" s="93">
        <f t="shared" si="5"/>
        <v>456.98458181875282</v>
      </c>
    </row>
    <row r="180" spans="5:9">
      <c r="E180" s="93">
        <v>151.19999999999999</v>
      </c>
      <c r="F180" s="93">
        <f t="shared" si="4"/>
        <v>656.82829322344674</v>
      </c>
      <c r="H180" s="93">
        <v>168</v>
      </c>
      <c r="I180" s="93">
        <f t="shared" si="5"/>
        <v>466.65120345094243</v>
      </c>
    </row>
    <row r="181" spans="5:9">
      <c r="E181" s="93">
        <v>152.1</v>
      </c>
      <c r="F181" s="93">
        <f t="shared" si="4"/>
        <v>684.45557586346945</v>
      </c>
      <c r="H181" s="93">
        <v>169</v>
      </c>
      <c r="I181" s="93">
        <f t="shared" si="5"/>
        <v>477.11222555296411</v>
      </c>
    </row>
    <row r="182" spans="5:9">
      <c r="E182" s="93">
        <v>153</v>
      </c>
      <c r="F182" s="93">
        <f t="shared" si="4"/>
        <v>715.38559103757143</v>
      </c>
      <c r="H182" s="93">
        <v>170</v>
      </c>
      <c r="I182" s="93">
        <f t="shared" si="5"/>
        <v>484.57742003718545</v>
      </c>
    </row>
    <row r="183" spans="5:9">
      <c r="E183" s="93">
        <v>153.9</v>
      </c>
      <c r="F183" s="93">
        <f t="shared" si="4"/>
        <v>712.01568469422966</v>
      </c>
      <c r="H183" s="93">
        <v>171</v>
      </c>
      <c r="I183" s="93">
        <f t="shared" si="5"/>
        <v>486.85451954396927</v>
      </c>
    </row>
    <row r="184" spans="5:9">
      <c r="E184" s="93">
        <v>154.80000000000001</v>
      </c>
      <c r="F184" s="93">
        <f t="shared" si="4"/>
        <v>687.05389959132253</v>
      </c>
      <c r="H184" s="93">
        <v>172</v>
      </c>
      <c r="I184" s="93">
        <f t="shared" si="5"/>
        <v>484.5170083365764</v>
      </c>
    </row>
    <row r="185" spans="5:9">
      <c r="E185" s="93">
        <v>155.69999999999999</v>
      </c>
      <c r="F185" s="93">
        <f t="shared" si="4"/>
        <v>684.88399423938472</v>
      </c>
      <c r="H185" s="93">
        <v>173</v>
      </c>
      <c r="I185" s="93">
        <f t="shared" si="5"/>
        <v>480.59862262642883</v>
      </c>
    </row>
    <row r="186" spans="5:9">
      <c r="E186" s="93">
        <v>156.6</v>
      </c>
      <c r="F186" s="93">
        <f t="shared" si="4"/>
        <v>716.48156410093441</v>
      </c>
      <c r="H186" s="93">
        <v>174</v>
      </c>
      <c r="I186" s="93">
        <f t="shared" si="5"/>
        <v>478.97729721853477</v>
      </c>
    </row>
    <row r="187" spans="5:9">
      <c r="E187" s="93">
        <v>157.5</v>
      </c>
      <c r="F187" s="93">
        <f t="shared" si="4"/>
        <v>743.3195020428135</v>
      </c>
      <c r="H187" s="93">
        <v>175</v>
      </c>
      <c r="I187" s="93">
        <f t="shared" si="5"/>
        <v>482.30941536397506</v>
      </c>
    </row>
    <row r="188" spans="5:9">
      <c r="E188" s="93">
        <v>158.4</v>
      </c>
      <c r="F188" s="93">
        <f t="shared" si="4"/>
        <v>733.86364217663345</v>
      </c>
      <c r="H188" s="93">
        <v>176</v>
      </c>
      <c r="I188" s="93">
        <f t="shared" si="5"/>
        <v>490.61476808808823</v>
      </c>
    </row>
    <row r="189" spans="5:9">
      <c r="E189" s="93">
        <v>159.30000000000001</v>
      </c>
      <c r="F189" s="93">
        <f t="shared" si="4"/>
        <v>709.81403715406395</v>
      </c>
      <c r="H189" s="93">
        <v>177</v>
      </c>
      <c r="I189" s="93">
        <f t="shared" si="5"/>
        <v>501.2660022579214</v>
      </c>
    </row>
    <row r="190" spans="5:9">
      <c r="E190" s="93">
        <v>160.19999999999999</v>
      </c>
      <c r="F190" s="93">
        <f t="shared" si="4"/>
        <v>714.28420189072153</v>
      </c>
      <c r="H190" s="93">
        <v>178</v>
      </c>
      <c r="I190" s="93">
        <f t="shared" si="5"/>
        <v>510.38817830544394</v>
      </c>
    </row>
    <row r="191" spans="5:9">
      <c r="E191" s="93">
        <v>161.1</v>
      </c>
      <c r="F191" s="93">
        <f t="shared" si="4"/>
        <v>748.57990773348979</v>
      </c>
      <c r="H191" s="93">
        <v>179</v>
      </c>
      <c r="I191" s="93">
        <f t="shared" si="5"/>
        <v>514.92290596573446</v>
      </c>
    </row>
    <row r="192" spans="5:9">
      <c r="E192" s="93">
        <v>162</v>
      </c>
      <c r="F192" s="93">
        <f t="shared" si="4"/>
        <v>770.28436226165263</v>
      </c>
      <c r="H192" s="93">
        <v>180</v>
      </c>
      <c r="I192" s="93">
        <f t="shared" si="5"/>
        <v>514.25751173931837</v>
      </c>
    </row>
    <row r="193" spans="5:9">
      <c r="E193" s="93">
        <v>162.9</v>
      </c>
      <c r="F193" s="93">
        <f t="shared" si="4"/>
        <v>755.45764460962141</v>
      </c>
      <c r="H193" s="93">
        <v>181</v>
      </c>
      <c r="I193" s="93">
        <f t="shared" si="5"/>
        <v>510.55139542303982</v>
      </c>
    </row>
    <row r="194" spans="5:9">
      <c r="E194" s="93">
        <v>163.80000000000001</v>
      </c>
      <c r="F194" s="93">
        <f t="shared" si="4"/>
        <v>733.74187340493336</v>
      </c>
      <c r="H194" s="93">
        <v>182</v>
      </c>
      <c r="I194" s="93">
        <f t="shared" si="5"/>
        <v>507.58572855940497</v>
      </c>
    </row>
    <row r="195" spans="5:9">
      <c r="E195" s="93">
        <v>164.7</v>
      </c>
      <c r="F195" s="93">
        <f t="shared" si="4"/>
        <v>744.89430052798821</v>
      </c>
      <c r="H195" s="93">
        <v>183</v>
      </c>
      <c r="I195" s="93">
        <f t="shared" si="5"/>
        <v>508.74924995181578</v>
      </c>
    </row>
    <row r="196" spans="5:9">
      <c r="E196" s="93">
        <v>165.6</v>
      </c>
      <c r="F196" s="93">
        <f t="shared" si="4"/>
        <v>780.48769250857788</v>
      </c>
      <c r="H196" s="93">
        <v>184</v>
      </c>
      <c r="I196" s="93">
        <f t="shared" si="5"/>
        <v>515.23310661001415</v>
      </c>
    </row>
    <row r="197" spans="5:9">
      <c r="E197" s="93">
        <v>166.5</v>
      </c>
      <c r="F197" s="93">
        <f t="shared" si="4"/>
        <v>796.26787692473476</v>
      </c>
      <c r="H197" s="93">
        <v>185</v>
      </c>
      <c r="I197" s="93">
        <f t="shared" si="5"/>
        <v>525.39633189526944</v>
      </c>
    </row>
    <row r="198" spans="5:9">
      <c r="E198" s="93">
        <v>167.4</v>
      </c>
      <c r="F198" s="93">
        <f t="shared" si="4"/>
        <v>777.04749260438473</v>
      </c>
      <c r="H198" s="93">
        <v>186</v>
      </c>
      <c r="I198" s="93">
        <f t="shared" si="5"/>
        <v>535.63996487115696</v>
      </c>
    </row>
    <row r="199" spans="5:9">
      <c r="E199" s="93">
        <v>168.3</v>
      </c>
      <c r="F199" s="93">
        <f t="shared" si="4"/>
        <v>758.97650896651487</v>
      </c>
      <c r="H199" s="93">
        <v>187</v>
      </c>
      <c r="I199" s="93">
        <f t="shared" si="5"/>
        <v>542.32417544975488</v>
      </c>
    </row>
    <row r="200" spans="5:9">
      <c r="E200" s="93">
        <v>169.2</v>
      </c>
      <c r="F200" s="93">
        <f t="shared" si="4"/>
        <v>776.53228597268537</v>
      </c>
      <c r="H200" s="93">
        <v>188</v>
      </c>
      <c r="I200" s="93">
        <f t="shared" si="5"/>
        <v>543.70716024489866</v>
      </c>
    </row>
    <row r="201" spans="5:9">
      <c r="E201" s="93">
        <v>170.1</v>
      </c>
      <c r="F201" s="93">
        <f t="shared" si="4"/>
        <v>811.9623294242831</v>
      </c>
      <c r="H201" s="93">
        <v>189</v>
      </c>
      <c r="I201" s="93">
        <f t="shared" si="5"/>
        <v>540.8729769869725</v>
      </c>
    </row>
    <row r="202" spans="5:9">
      <c r="E202" s="93">
        <v>171</v>
      </c>
      <c r="F202" s="93">
        <f t="shared" si="4"/>
        <v>821.3162926342784</v>
      </c>
      <c r="H202" s="93">
        <v>190</v>
      </c>
      <c r="I202" s="93">
        <f t="shared" si="5"/>
        <v>537.15406856426205</v>
      </c>
    </row>
    <row r="203" spans="5:9">
      <c r="E203" s="93">
        <v>171.9</v>
      </c>
      <c r="F203" s="93">
        <f t="shared" si="4"/>
        <v>798.89420234497982</v>
      </c>
      <c r="H203" s="93">
        <v>191</v>
      </c>
      <c r="I203" s="93">
        <f t="shared" si="5"/>
        <v>536.35609286805368</v>
      </c>
    </row>
    <row r="204" spans="5:9">
      <c r="E204" s="93">
        <v>172.8</v>
      </c>
      <c r="F204" s="93">
        <f t="shared" si="4"/>
        <v>785.60478581680002</v>
      </c>
      <c r="H204" s="93">
        <v>192</v>
      </c>
      <c r="I204" s="93">
        <f t="shared" si="5"/>
        <v>540.73067539773263</v>
      </c>
    </row>
    <row r="205" spans="5:9">
      <c r="E205" s="93">
        <v>173.7</v>
      </c>
      <c r="F205" s="93">
        <f t="shared" ref="F205:F212" si="6">E205^1.3+25 * SIN(DEGREES(E205))</f>
        <v>808.97734620946892</v>
      </c>
      <c r="H205" s="93">
        <v>193</v>
      </c>
      <c r="I205" s="93">
        <f t="shared" ref="I205:I212" si="7">H205^1.2+10 * SIN(DEGREES(H205))</f>
        <v>549.77598082976817</v>
      </c>
    </row>
    <row r="206" spans="5:9">
      <c r="E206" s="93">
        <v>174.6</v>
      </c>
      <c r="F206" s="93">
        <f t="shared" si="6"/>
        <v>842.79306905222154</v>
      </c>
      <c r="H206" s="93">
        <v>194</v>
      </c>
      <c r="I206" s="93">
        <f t="shared" si="7"/>
        <v>560.50402813956043</v>
      </c>
    </row>
    <row r="207" spans="5:9">
      <c r="E207" s="93">
        <v>175.5</v>
      </c>
      <c r="F207" s="93">
        <f t="shared" si="6"/>
        <v>845.53193881528568</v>
      </c>
      <c r="H207" s="93">
        <v>195</v>
      </c>
      <c r="I207" s="93">
        <f t="shared" si="7"/>
        <v>569.03235294674369</v>
      </c>
    </row>
    <row r="208" spans="5:9">
      <c r="E208" s="93">
        <v>176.4</v>
      </c>
      <c r="F208" s="93">
        <f t="shared" si="6"/>
        <v>821.25715776491677</v>
      </c>
      <c r="H208" s="93">
        <v>196</v>
      </c>
      <c r="I208" s="93">
        <f t="shared" si="7"/>
        <v>572.6521530625779</v>
      </c>
    </row>
    <row r="209" spans="5:9">
      <c r="E209" s="93">
        <v>177.3</v>
      </c>
      <c r="F209" s="93">
        <f t="shared" si="6"/>
        <v>813.65686893152099</v>
      </c>
      <c r="H209" s="93">
        <v>197</v>
      </c>
      <c r="I209" s="93">
        <f t="shared" si="7"/>
        <v>571.27123496040315</v>
      </c>
    </row>
    <row r="210" spans="5:9">
      <c r="E210" s="93">
        <v>178.2</v>
      </c>
      <c r="F210" s="93">
        <f t="shared" si="6"/>
        <v>841.98033078675041</v>
      </c>
      <c r="H210" s="93">
        <v>198</v>
      </c>
      <c r="I210" s="93">
        <f t="shared" si="7"/>
        <v>567.46311673852449</v>
      </c>
    </row>
    <row r="211" spans="5:9">
      <c r="E211" s="93">
        <v>179.1</v>
      </c>
      <c r="F211" s="93">
        <f t="shared" si="6"/>
        <v>872.8109861659525</v>
      </c>
      <c r="H211" s="93">
        <v>199</v>
      </c>
      <c r="I211" s="93">
        <f t="shared" si="7"/>
        <v>565.09613087386992</v>
      </c>
    </row>
    <row r="212" spans="5:9">
      <c r="E212" s="93">
        <v>180</v>
      </c>
      <c r="F212" s="93">
        <f t="shared" si="6"/>
        <v>869.06806630649987</v>
      </c>
      <c r="H212" s="93">
        <v>200</v>
      </c>
      <c r="I212" s="93">
        <f t="shared" si="7"/>
        <v>567.2727912301757</v>
      </c>
    </row>
    <row r="213" spans="5:9">
      <c r="H213" s="93"/>
      <c r="I213" s="93"/>
    </row>
    <row r="214" spans="5:9">
      <c r="H214" s="93"/>
      <c r="I214" s="93"/>
    </row>
    <row r="215" spans="5:9">
      <c r="H215" s="93"/>
      <c r="I215" s="93"/>
    </row>
    <row r="216" spans="5:9">
      <c r="H216" s="93"/>
      <c r="I216" s="93"/>
    </row>
    <row r="217" spans="5:9">
      <c r="H217" s="93"/>
      <c r="I217" s="93"/>
    </row>
    <row r="218" spans="5:9">
      <c r="H218" s="93"/>
      <c r="I218" s="93"/>
    </row>
    <row r="219" spans="5:9">
      <c r="H219" s="93"/>
      <c r="I219" s="93"/>
    </row>
    <row r="220" spans="5:9">
      <c r="H220" s="93"/>
      <c r="I220" s="93"/>
    </row>
    <row r="221" spans="5:9">
      <c r="H221" s="93"/>
      <c r="I221" s="93"/>
    </row>
    <row r="222" spans="5:9">
      <c r="H222" s="93"/>
      <c r="I222" s="93"/>
    </row>
    <row r="223" spans="5:9">
      <c r="H223" s="93"/>
      <c r="I223" s="93"/>
    </row>
    <row r="224" spans="5:9">
      <c r="H224" s="93"/>
      <c r="I224" s="93"/>
    </row>
    <row r="225" spans="8:9">
      <c r="H225" s="93"/>
      <c r="I225" s="93"/>
    </row>
    <row r="226" spans="8:9">
      <c r="H226" s="93"/>
      <c r="I226" s="93"/>
    </row>
    <row r="227" spans="8:9">
      <c r="H227" s="93"/>
      <c r="I227" s="93"/>
    </row>
    <row r="228" spans="8:9">
      <c r="H228" s="93"/>
      <c r="I228" s="93"/>
    </row>
    <row r="229" spans="8:9">
      <c r="H229" s="93"/>
      <c r="I229" s="93"/>
    </row>
    <row r="230" spans="8:9">
      <c r="H230" s="93"/>
      <c r="I230" s="93"/>
    </row>
    <row r="231" spans="8:9">
      <c r="H231" s="93"/>
      <c r="I231" s="93"/>
    </row>
    <row r="232" spans="8:9">
      <c r="H232" s="93"/>
      <c r="I232" s="93"/>
    </row>
    <row r="233" spans="8:9">
      <c r="H233" s="93"/>
      <c r="I233" s="93"/>
    </row>
    <row r="234" spans="8:9">
      <c r="H234" s="93"/>
      <c r="I234" s="93"/>
    </row>
    <row r="235" spans="8:9">
      <c r="H235" s="93"/>
      <c r="I235" s="93"/>
    </row>
    <row r="236" spans="8:9">
      <c r="H236" s="93"/>
      <c r="I236" s="93"/>
    </row>
    <row r="237" spans="8:9">
      <c r="H237" s="93"/>
      <c r="I237" s="93"/>
    </row>
    <row r="238" spans="8:9">
      <c r="H238" s="93"/>
      <c r="I238" s="93"/>
    </row>
    <row r="239" spans="8:9">
      <c r="H239" s="93"/>
      <c r="I239" s="93"/>
    </row>
    <row r="240" spans="8:9">
      <c r="H240" s="93"/>
      <c r="I240" s="93"/>
    </row>
    <row r="241" spans="8:9">
      <c r="H241" s="93"/>
      <c r="I241" s="93"/>
    </row>
    <row r="242" spans="8:9">
      <c r="H242" s="93"/>
      <c r="I242" s="93"/>
    </row>
    <row r="243" spans="8:9">
      <c r="H243" s="93"/>
      <c r="I243" s="93"/>
    </row>
    <row r="244" spans="8:9">
      <c r="H244" s="93"/>
      <c r="I244" s="93"/>
    </row>
    <row r="245" spans="8:9">
      <c r="H245" s="93"/>
      <c r="I245" s="93"/>
    </row>
    <row r="246" spans="8:9">
      <c r="H246" s="93"/>
      <c r="I246" s="93"/>
    </row>
    <row r="247" spans="8:9">
      <c r="H247" s="93"/>
      <c r="I247" s="93"/>
    </row>
    <row r="248" spans="8:9">
      <c r="H248" s="93"/>
      <c r="I248" s="93"/>
    </row>
    <row r="249" spans="8:9">
      <c r="H249" s="93"/>
      <c r="I249" s="93"/>
    </row>
    <row r="250" spans="8:9">
      <c r="H250" s="93"/>
      <c r="I250" s="93"/>
    </row>
    <row r="251" spans="8:9">
      <c r="H251" s="93"/>
      <c r="I251" s="93"/>
    </row>
    <row r="252" spans="8:9">
      <c r="H252" s="93"/>
      <c r="I252" s="93"/>
    </row>
    <row r="253" spans="8:9">
      <c r="H253" s="93"/>
      <c r="I253" s="93"/>
    </row>
    <row r="254" spans="8:9">
      <c r="H254" s="93"/>
      <c r="I254" s="93"/>
    </row>
    <row r="255" spans="8:9">
      <c r="H255" s="93"/>
      <c r="I255" s="93"/>
    </row>
    <row r="256" spans="8:9">
      <c r="H256" s="93"/>
      <c r="I256" s="93"/>
    </row>
    <row r="257" spans="8:9">
      <c r="H257" s="93"/>
      <c r="I257" s="93"/>
    </row>
    <row r="258" spans="8:9">
      <c r="H258" s="93"/>
      <c r="I258" s="93"/>
    </row>
    <row r="259" spans="8:9">
      <c r="H259" s="93"/>
      <c r="I259" s="93"/>
    </row>
    <row r="260" spans="8:9">
      <c r="H260" s="93"/>
      <c r="I260" s="93"/>
    </row>
    <row r="261" spans="8:9">
      <c r="H261" s="93"/>
      <c r="I261" s="93"/>
    </row>
    <row r="262" spans="8:9">
      <c r="H262" s="93"/>
      <c r="I262" s="93"/>
    </row>
    <row r="263" spans="8:9">
      <c r="H263" s="93"/>
      <c r="I263" s="93"/>
    </row>
    <row r="264" spans="8:9">
      <c r="H264" s="93"/>
      <c r="I264" s="93"/>
    </row>
    <row r="265" spans="8:9">
      <c r="H265" s="93"/>
      <c r="I265" s="93"/>
    </row>
    <row r="266" spans="8:9">
      <c r="H266" s="93"/>
      <c r="I266" s="93"/>
    </row>
    <row r="267" spans="8:9">
      <c r="H267" s="93"/>
      <c r="I267" s="93"/>
    </row>
    <row r="268" spans="8:9">
      <c r="H268" s="93"/>
      <c r="I268" s="93"/>
    </row>
    <row r="269" spans="8:9">
      <c r="H269" s="93"/>
      <c r="I269" s="93"/>
    </row>
    <row r="270" spans="8:9">
      <c r="H270" s="93"/>
      <c r="I270" s="93"/>
    </row>
    <row r="271" spans="8:9">
      <c r="H271" s="93"/>
      <c r="I271" s="93"/>
    </row>
    <row r="272" spans="8:9">
      <c r="H272" s="93"/>
      <c r="I272" s="93"/>
    </row>
    <row r="273" spans="8:9">
      <c r="H273" s="93"/>
      <c r="I273" s="93"/>
    </row>
    <row r="274" spans="8:9">
      <c r="H274" s="93"/>
      <c r="I274" s="93"/>
    </row>
    <row r="275" spans="8:9">
      <c r="H275" s="93"/>
      <c r="I275" s="93"/>
    </row>
    <row r="276" spans="8:9">
      <c r="H276" s="93"/>
      <c r="I276" s="93"/>
    </row>
    <row r="277" spans="8:9">
      <c r="H277" s="93"/>
      <c r="I277" s="93"/>
    </row>
    <row r="278" spans="8:9">
      <c r="H278" s="93"/>
      <c r="I278" s="93"/>
    </row>
    <row r="279" spans="8:9">
      <c r="H279" s="93"/>
      <c r="I279" s="93"/>
    </row>
    <row r="280" spans="8:9">
      <c r="H280" s="93"/>
      <c r="I280" s="93"/>
    </row>
    <row r="281" spans="8:9">
      <c r="H281" s="93"/>
      <c r="I281" s="93"/>
    </row>
    <row r="282" spans="8:9">
      <c r="H282" s="93"/>
      <c r="I282" s="93"/>
    </row>
    <row r="283" spans="8:9">
      <c r="H283" s="93"/>
      <c r="I283" s="93"/>
    </row>
    <row r="284" spans="8:9">
      <c r="H284" s="93"/>
      <c r="I284" s="93"/>
    </row>
    <row r="285" spans="8:9">
      <c r="H285" s="93"/>
      <c r="I285" s="93"/>
    </row>
    <row r="286" spans="8:9">
      <c r="H286" s="93"/>
      <c r="I286" s="93"/>
    </row>
    <row r="287" spans="8:9">
      <c r="H287" s="93"/>
      <c r="I287" s="93"/>
    </row>
    <row r="288" spans="8:9">
      <c r="H288" s="93"/>
      <c r="I288" s="93"/>
    </row>
    <row r="289" spans="8:9">
      <c r="H289" s="93"/>
      <c r="I289" s="93"/>
    </row>
    <row r="290" spans="8:9">
      <c r="H290" s="93"/>
      <c r="I290" s="93"/>
    </row>
    <row r="291" spans="8:9">
      <c r="H291" s="93"/>
      <c r="I291" s="93"/>
    </row>
    <row r="292" spans="8:9">
      <c r="H292" s="93"/>
      <c r="I292" s="93"/>
    </row>
    <row r="293" spans="8:9">
      <c r="H293" s="93"/>
      <c r="I293" s="93"/>
    </row>
    <row r="294" spans="8:9">
      <c r="H294" s="93"/>
      <c r="I294" s="93"/>
    </row>
    <row r="295" spans="8:9">
      <c r="H295" s="93"/>
      <c r="I295" s="93"/>
    </row>
    <row r="296" spans="8:9">
      <c r="H296" s="93"/>
      <c r="I296" s="93"/>
    </row>
    <row r="297" spans="8:9">
      <c r="H297" s="93"/>
      <c r="I297" s="93"/>
    </row>
    <row r="298" spans="8:9">
      <c r="H298" s="93"/>
      <c r="I298" s="93"/>
    </row>
    <row r="299" spans="8:9">
      <c r="H299" s="93"/>
      <c r="I299" s="93"/>
    </row>
    <row r="300" spans="8:9">
      <c r="H300" s="93"/>
      <c r="I300" s="93"/>
    </row>
    <row r="301" spans="8:9">
      <c r="H301" s="93"/>
      <c r="I301" s="93"/>
    </row>
    <row r="302" spans="8:9">
      <c r="H302" s="93"/>
      <c r="I302" s="93"/>
    </row>
    <row r="303" spans="8:9">
      <c r="H303" s="93"/>
      <c r="I303" s="93"/>
    </row>
    <row r="304" spans="8:9">
      <c r="H304" s="93"/>
      <c r="I304" s="93"/>
    </row>
    <row r="305" spans="8:9">
      <c r="H305" s="93"/>
      <c r="I305" s="93"/>
    </row>
    <row r="306" spans="8:9">
      <c r="H306" s="93"/>
      <c r="I306" s="93"/>
    </row>
    <row r="307" spans="8:9">
      <c r="H307" s="93"/>
      <c r="I307" s="93"/>
    </row>
    <row r="308" spans="8:9">
      <c r="H308" s="93"/>
      <c r="I308" s="93"/>
    </row>
    <row r="309" spans="8:9">
      <c r="H309" s="93"/>
      <c r="I309" s="93"/>
    </row>
    <row r="310" spans="8:9">
      <c r="H310" s="93"/>
      <c r="I310" s="93"/>
    </row>
    <row r="311" spans="8:9">
      <c r="H311" s="93"/>
      <c r="I311" s="93"/>
    </row>
    <row r="312" spans="8:9">
      <c r="H312" s="93"/>
      <c r="I312" s="93"/>
    </row>
    <row r="313" spans="8:9">
      <c r="H313" s="93"/>
      <c r="I313" s="93"/>
    </row>
    <row r="314" spans="8:9">
      <c r="H314" s="93"/>
      <c r="I314" s="93"/>
    </row>
    <row r="315" spans="8:9">
      <c r="H315" s="93"/>
      <c r="I315" s="93"/>
    </row>
    <row r="316" spans="8:9">
      <c r="H316" s="93"/>
      <c r="I316" s="93"/>
    </row>
    <row r="317" spans="8:9">
      <c r="H317" s="93"/>
      <c r="I317" s="93"/>
    </row>
    <row r="318" spans="8:9">
      <c r="H318" s="93"/>
      <c r="I318" s="93"/>
    </row>
    <row r="319" spans="8:9">
      <c r="H319" s="93"/>
      <c r="I319" s="93"/>
    </row>
    <row r="320" spans="8:9">
      <c r="H320" s="93"/>
      <c r="I320" s="93"/>
    </row>
    <row r="321" spans="8:9">
      <c r="H321" s="93"/>
      <c r="I321" s="93"/>
    </row>
    <row r="322" spans="8:9">
      <c r="H322" s="93"/>
      <c r="I322" s="93"/>
    </row>
    <row r="323" spans="8:9">
      <c r="H323" s="93"/>
      <c r="I323" s="93"/>
    </row>
    <row r="324" spans="8:9">
      <c r="H324" s="93"/>
      <c r="I324" s="93"/>
    </row>
    <row r="325" spans="8:9">
      <c r="H325" s="93"/>
      <c r="I325" s="93"/>
    </row>
    <row r="326" spans="8:9">
      <c r="H326" s="93"/>
      <c r="I326" s="93"/>
    </row>
    <row r="327" spans="8:9">
      <c r="H327" s="93"/>
      <c r="I327" s="93"/>
    </row>
    <row r="328" spans="8:9">
      <c r="H328" s="93"/>
      <c r="I328" s="93"/>
    </row>
    <row r="329" spans="8:9">
      <c r="H329" s="93"/>
      <c r="I329" s="93"/>
    </row>
    <row r="330" spans="8:9">
      <c r="H330" s="93"/>
      <c r="I330" s="93"/>
    </row>
    <row r="331" spans="8:9">
      <c r="H331" s="93"/>
      <c r="I331" s="93"/>
    </row>
    <row r="332" spans="8:9">
      <c r="H332" s="93"/>
      <c r="I332" s="93"/>
    </row>
    <row r="333" spans="8:9">
      <c r="H333" s="93"/>
      <c r="I333" s="93"/>
    </row>
    <row r="334" spans="8:9">
      <c r="H334" s="93"/>
      <c r="I334" s="93"/>
    </row>
    <row r="335" spans="8:9">
      <c r="H335" s="93"/>
      <c r="I335" s="93"/>
    </row>
    <row r="336" spans="8:9">
      <c r="H336" s="93"/>
      <c r="I336" s="93"/>
    </row>
    <row r="337" spans="8:9">
      <c r="H337" s="93"/>
      <c r="I337" s="93"/>
    </row>
    <row r="338" spans="8:9">
      <c r="H338" s="93"/>
      <c r="I338" s="93"/>
    </row>
    <row r="339" spans="8:9">
      <c r="H339" s="93"/>
      <c r="I339" s="93"/>
    </row>
    <row r="340" spans="8:9">
      <c r="H340" s="93"/>
      <c r="I340" s="93"/>
    </row>
    <row r="341" spans="8:9">
      <c r="H341" s="93"/>
      <c r="I341" s="93"/>
    </row>
    <row r="342" spans="8:9">
      <c r="H342" s="93"/>
      <c r="I342" s="93"/>
    </row>
    <row r="343" spans="8:9">
      <c r="H343" s="93"/>
      <c r="I343" s="93"/>
    </row>
    <row r="344" spans="8:9">
      <c r="H344" s="93"/>
      <c r="I344" s="93"/>
    </row>
    <row r="345" spans="8:9">
      <c r="H345" s="93"/>
      <c r="I345" s="93"/>
    </row>
    <row r="346" spans="8:9">
      <c r="H346" s="93"/>
      <c r="I346" s="93"/>
    </row>
    <row r="347" spans="8:9">
      <c r="H347" s="93"/>
      <c r="I347" s="93"/>
    </row>
    <row r="348" spans="8:9">
      <c r="H348" s="93"/>
      <c r="I348" s="93"/>
    </row>
    <row r="349" spans="8:9">
      <c r="H349" s="93"/>
      <c r="I349" s="93"/>
    </row>
    <row r="350" spans="8:9">
      <c r="H350" s="93"/>
      <c r="I350" s="93"/>
    </row>
    <row r="351" spans="8:9">
      <c r="H351" s="93"/>
      <c r="I351" s="93"/>
    </row>
    <row r="352" spans="8:9">
      <c r="H352" s="93"/>
      <c r="I352" s="93"/>
    </row>
    <row r="353" spans="8:9">
      <c r="H353" s="93"/>
      <c r="I353" s="93"/>
    </row>
    <row r="354" spans="8:9">
      <c r="H354" s="93"/>
      <c r="I354" s="93"/>
    </row>
    <row r="355" spans="8:9">
      <c r="H355" s="93"/>
      <c r="I355" s="93"/>
    </row>
    <row r="356" spans="8:9">
      <c r="H356" s="93"/>
      <c r="I356" s="93"/>
    </row>
    <row r="357" spans="8:9">
      <c r="H357" s="93"/>
      <c r="I357" s="93"/>
    </row>
    <row r="358" spans="8:9">
      <c r="H358" s="93"/>
      <c r="I358" s="93"/>
    </row>
    <row r="359" spans="8:9">
      <c r="H359" s="93"/>
      <c r="I359" s="93"/>
    </row>
    <row r="360" spans="8:9">
      <c r="H360" s="93"/>
      <c r="I360" s="93"/>
    </row>
    <row r="361" spans="8:9">
      <c r="H361" s="93"/>
      <c r="I361" s="93"/>
    </row>
    <row r="362" spans="8:9">
      <c r="H362" s="93"/>
      <c r="I362" s="93"/>
    </row>
    <row r="363" spans="8:9">
      <c r="H363" s="93"/>
      <c r="I363" s="93"/>
    </row>
    <row r="364" spans="8:9">
      <c r="H364" s="93"/>
      <c r="I364" s="93"/>
    </row>
    <row r="365" spans="8:9">
      <c r="H365" s="93"/>
      <c r="I365" s="93"/>
    </row>
    <row r="366" spans="8:9">
      <c r="H366" s="93"/>
      <c r="I366" s="93"/>
    </row>
    <row r="367" spans="8:9">
      <c r="H367" s="93"/>
      <c r="I367" s="93"/>
    </row>
    <row r="368" spans="8:9">
      <c r="H368" s="93"/>
      <c r="I368" s="93"/>
    </row>
    <row r="369" spans="8:9">
      <c r="H369" s="93"/>
      <c r="I369" s="93"/>
    </row>
    <row r="370" spans="8:9">
      <c r="H370" s="93"/>
      <c r="I370" s="93"/>
    </row>
    <row r="371" spans="8:9">
      <c r="H371" s="93"/>
      <c r="I371" s="93"/>
    </row>
    <row r="372" spans="8:9">
      <c r="H372" s="93"/>
      <c r="I372" s="93"/>
    </row>
    <row r="373" spans="8:9">
      <c r="H373" s="93"/>
      <c r="I373" s="93"/>
    </row>
    <row r="374" spans="8:9">
      <c r="H374" s="93"/>
      <c r="I374" s="93"/>
    </row>
    <row r="375" spans="8:9">
      <c r="H375" s="93"/>
      <c r="I375" s="93"/>
    </row>
    <row r="376" spans="8:9">
      <c r="H376" s="93"/>
      <c r="I376" s="93"/>
    </row>
    <row r="377" spans="8:9">
      <c r="H377" s="93"/>
      <c r="I377" s="93"/>
    </row>
    <row r="378" spans="8:9">
      <c r="H378" s="93"/>
      <c r="I378" s="93"/>
    </row>
    <row r="379" spans="8:9">
      <c r="H379" s="93"/>
      <c r="I379" s="93"/>
    </row>
    <row r="380" spans="8:9">
      <c r="H380" s="93"/>
      <c r="I380" s="93"/>
    </row>
    <row r="381" spans="8:9">
      <c r="H381" s="93"/>
      <c r="I381" s="93"/>
    </row>
    <row r="382" spans="8:9">
      <c r="H382" s="93"/>
      <c r="I382" s="93"/>
    </row>
    <row r="383" spans="8:9">
      <c r="H383" s="93"/>
      <c r="I383" s="93"/>
    </row>
    <row r="384" spans="8:9">
      <c r="H384" s="93"/>
      <c r="I384" s="93"/>
    </row>
    <row r="385" spans="8:9">
      <c r="H385" s="93"/>
      <c r="I385" s="93"/>
    </row>
    <row r="386" spans="8:9">
      <c r="H386" s="93"/>
      <c r="I386" s="93"/>
    </row>
    <row r="387" spans="8:9">
      <c r="H387" s="93"/>
      <c r="I387" s="93"/>
    </row>
    <row r="388" spans="8:9">
      <c r="H388" s="93"/>
      <c r="I388" s="93"/>
    </row>
    <row r="389" spans="8:9">
      <c r="H389" s="93"/>
      <c r="I389" s="93"/>
    </row>
    <row r="390" spans="8:9">
      <c r="H390" s="93"/>
      <c r="I390" s="93"/>
    </row>
    <row r="391" spans="8:9">
      <c r="H391" s="93"/>
      <c r="I391" s="93"/>
    </row>
    <row r="392" spans="8:9">
      <c r="H392" s="93"/>
      <c r="I392" s="93"/>
    </row>
    <row r="393" spans="8:9">
      <c r="H393" s="93"/>
      <c r="I393" s="93"/>
    </row>
    <row r="394" spans="8:9">
      <c r="H394" s="93"/>
      <c r="I394" s="93"/>
    </row>
    <row r="395" spans="8:9">
      <c r="H395" s="93"/>
      <c r="I395" s="93"/>
    </row>
    <row r="396" spans="8:9">
      <c r="H396" s="93"/>
      <c r="I396" s="93"/>
    </row>
    <row r="397" spans="8:9">
      <c r="H397" s="93"/>
      <c r="I397" s="93"/>
    </row>
    <row r="398" spans="8:9">
      <c r="H398" s="93"/>
      <c r="I398" s="93"/>
    </row>
    <row r="399" spans="8:9">
      <c r="H399" s="93"/>
      <c r="I399" s="93"/>
    </row>
    <row r="400" spans="8:9">
      <c r="H400" s="93"/>
      <c r="I400" s="93"/>
    </row>
    <row r="401" spans="8:9">
      <c r="H401" s="93"/>
      <c r="I401" s="93"/>
    </row>
    <row r="402" spans="8:9">
      <c r="H402" s="93"/>
      <c r="I402" s="93"/>
    </row>
    <row r="403" spans="8:9">
      <c r="H403" s="93"/>
      <c r="I403" s="93"/>
    </row>
    <row r="404" spans="8:9">
      <c r="H404" s="93"/>
      <c r="I404" s="93"/>
    </row>
    <row r="405" spans="8:9">
      <c r="H405" s="93"/>
      <c r="I405" s="93"/>
    </row>
    <row r="406" spans="8:9">
      <c r="H406" s="93"/>
      <c r="I406" s="93"/>
    </row>
    <row r="407" spans="8:9">
      <c r="H407" s="93"/>
      <c r="I407" s="93"/>
    </row>
    <row r="408" spans="8:9">
      <c r="H408" s="93"/>
      <c r="I408" s="93"/>
    </row>
    <row r="409" spans="8:9">
      <c r="H409" s="93"/>
      <c r="I409" s="93"/>
    </row>
    <row r="410" spans="8:9">
      <c r="H410" s="93"/>
      <c r="I410" s="93"/>
    </row>
    <row r="411" spans="8:9">
      <c r="H411" s="93"/>
      <c r="I411" s="93"/>
    </row>
    <row r="412" spans="8:9">
      <c r="H412" s="93"/>
      <c r="I412" s="93"/>
    </row>
    <row r="413" spans="8:9">
      <c r="H413" s="93"/>
      <c r="I413" s="93"/>
    </row>
    <row r="414" spans="8:9">
      <c r="H414" s="93"/>
      <c r="I414" s="93"/>
    </row>
    <row r="415" spans="8:9">
      <c r="H415" s="93"/>
      <c r="I415" s="93"/>
    </row>
    <row r="416" spans="8:9">
      <c r="H416" s="93"/>
      <c r="I416" s="93"/>
    </row>
    <row r="417" spans="8:9">
      <c r="H417" s="93"/>
      <c r="I417" s="93"/>
    </row>
    <row r="418" spans="8:9">
      <c r="H418" s="93"/>
      <c r="I418" s="93"/>
    </row>
    <row r="419" spans="8:9">
      <c r="H419" s="93"/>
      <c r="I419" s="93"/>
    </row>
    <row r="420" spans="8:9">
      <c r="H420" s="93"/>
      <c r="I420" s="93"/>
    </row>
    <row r="421" spans="8:9">
      <c r="H421" s="93"/>
      <c r="I421" s="93"/>
    </row>
    <row r="422" spans="8:9">
      <c r="H422" s="93"/>
      <c r="I422" s="93"/>
    </row>
    <row r="423" spans="8:9">
      <c r="H423" s="93"/>
      <c r="I423" s="93"/>
    </row>
    <row r="424" spans="8:9">
      <c r="H424" s="93"/>
      <c r="I424" s="93"/>
    </row>
    <row r="425" spans="8:9">
      <c r="H425" s="93"/>
      <c r="I425" s="93"/>
    </row>
    <row r="426" spans="8:9">
      <c r="H426" s="93"/>
      <c r="I426" s="93"/>
    </row>
    <row r="427" spans="8:9">
      <c r="H427" s="93"/>
      <c r="I427" s="93"/>
    </row>
    <row r="428" spans="8:9">
      <c r="H428" s="93"/>
      <c r="I428" s="93"/>
    </row>
    <row r="429" spans="8:9">
      <c r="H429" s="93"/>
      <c r="I429" s="93"/>
    </row>
    <row r="430" spans="8:9">
      <c r="H430" s="93"/>
      <c r="I430" s="93"/>
    </row>
    <row r="431" spans="8:9">
      <c r="H431" s="93"/>
      <c r="I431" s="93"/>
    </row>
    <row r="432" spans="8:9">
      <c r="H432" s="93"/>
      <c r="I432" s="93"/>
    </row>
    <row r="433" spans="8:9">
      <c r="H433" s="93"/>
      <c r="I433" s="93"/>
    </row>
    <row r="434" spans="8:9">
      <c r="H434" s="93"/>
      <c r="I434" s="93"/>
    </row>
    <row r="435" spans="8:9">
      <c r="H435" s="93"/>
      <c r="I435" s="93"/>
    </row>
    <row r="436" spans="8:9">
      <c r="H436" s="93"/>
      <c r="I436" s="93"/>
    </row>
    <row r="437" spans="8:9">
      <c r="H437" s="93"/>
      <c r="I437" s="93"/>
    </row>
    <row r="438" spans="8:9">
      <c r="H438" s="93"/>
      <c r="I438" s="93"/>
    </row>
    <row r="439" spans="8:9">
      <c r="H439" s="93"/>
      <c r="I439" s="93"/>
    </row>
    <row r="440" spans="8:9">
      <c r="H440" s="93"/>
      <c r="I440" s="93"/>
    </row>
    <row r="441" spans="8:9">
      <c r="H441" s="93"/>
      <c r="I441" s="93"/>
    </row>
    <row r="442" spans="8:9">
      <c r="H442" s="93"/>
      <c r="I442" s="93"/>
    </row>
    <row r="443" spans="8:9">
      <c r="H443" s="93"/>
      <c r="I443" s="93"/>
    </row>
    <row r="444" spans="8:9">
      <c r="H444" s="93"/>
      <c r="I444" s="93"/>
    </row>
    <row r="445" spans="8:9">
      <c r="H445" s="93"/>
      <c r="I445" s="93"/>
    </row>
    <row r="446" spans="8:9">
      <c r="H446" s="93"/>
      <c r="I446" s="93"/>
    </row>
    <row r="447" spans="8:9">
      <c r="H447" s="93"/>
      <c r="I447" s="93"/>
    </row>
    <row r="448" spans="8:9">
      <c r="H448" s="93"/>
      <c r="I448" s="93"/>
    </row>
    <row r="449" spans="8:9">
      <c r="H449" s="93"/>
      <c r="I449" s="93"/>
    </row>
    <row r="450" spans="8:9">
      <c r="H450" s="93"/>
      <c r="I450" s="93"/>
    </row>
    <row r="451" spans="8:9">
      <c r="H451" s="93"/>
      <c r="I451" s="93"/>
    </row>
    <row r="452" spans="8:9">
      <c r="H452" s="93"/>
      <c r="I452" s="93"/>
    </row>
    <row r="453" spans="8:9">
      <c r="H453" s="93"/>
      <c r="I453" s="93"/>
    </row>
    <row r="454" spans="8:9">
      <c r="H454" s="93"/>
      <c r="I454" s="93"/>
    </row>
    <row r="455" spans="8:9">
      <c r="H455" s="93"/>
      <c r="I455" s="93"/>
    </row>
    <row r="456" spans="8:9">
      <c r="H456" s="93"/>
      <c r="I456" s="93"/>
    </row>
    <row r="457" spans="8:9">
      <c r="H457" s="93"/>
      <c r="I457" s="93"/>
    </row>
    <row r="458" spans="8:9">
      <c r="H458" s="93"/>
      <c r="I458" s="93"/>
    </row>
    <row r="459" spans="8:9">
      <c r="H459" s="93"/>
      <c r="I459" s="93"/>
    </row>
    <row r="460" spans="8:9">
      <c r="H460" s="93"/>
      <c r="I460" s="93"/>
    </row>
    <row r="461" spans="8:9">
      <c r="H461" s="93"/>
      <c r="I461" s="93"/>
    </row>
    <row r="462" spans="8:9">
      <c r="H462" s="93"/>
      <c r="I462" s="93"/>
    </row>
    <row r="463" spans="8:9">
      <c r="H463" s="93"/>
      <c r="I463" s="93"/>
    </row>
    <row r="464" spans="8:9">
      <c r="H464" s="93"/>
      <c r="I464" s="93"/>
    </row>
    <row r="465" spans="8:9">
      <c r="H465" s="93"/>
      <c r="I465" s="93"/>
    </row>
    <row r="466" spans="8:9">
      <c r="H466" s="93"/>
      <c r="I466" s="93"/>
    </row>
    <row r="467" spans="8:9">
      <c r="H467" s="93"/>
      <c r="I467" s="93"/>
    </row>
    <row r="468" spans="8:9">
      <c r="H468" s="93"/>
      <c r="I468" s="93"/>
    </row>
    <row r="469" spans="8:9">
      <c r="H469" s="93"/>
      <c r="I469" s="93"/>
    </row>
    <row r="470" spans="8:9">
      <c r="H470" s="93"/>
      <c r="I470" s="93"/>
    </row>
    <row r="471" spans="8:9">
      <c r="H471" s="93"/>
      <c r="I471" s="93"/>
    </row>
    <row r="472" spans="8:9">
      <c r="H472" s="93"/>
      <c r="I472" s="93"/>
    </row>
    <row r="473" spans="8:9">
      <c r="H473" s="93"/>
      <c r="I473" s="93"/>
    </row>
    <row r="474" spans="8:9">
      <c r="H474" s="93"/>
      <c r="I474" s="93"/>
    </row>
    <row r="475" spans="8:9">
      <c r="H475" s="93"/>
      <c r="I475" s="93"/>
    </row>
    <row r="476" spans="8:9">
      <c r="H476" s="93"/>
      <c r="I476" s="93"/>
    </row>
    <row r="477" spans="8:9">
      <c r="H477" s="93"/>
      <c r="I477" s="93"/>
    </row>
    <row r="478" spans="8:9">
      <c r="H478" s="93"/>
      <c r="I478" s="93"/>
    </row>
    <row r="479" spans="8:9">
      <c r="H479" s="93"/>
      <c r="I479" s="93"/>
    </row>
    <row r="480" spans="8:9">
      <c r="H480" s="93"/>
      <c r="I480" s="93"/>
    </row>
    <row r="481" spans="8:9">
      <c r="H481" s="93"/>
      <c r="I481" s="93"/>
    </row>
    <row r="482" spans="8:9">
      <c r="H482" s="93"/>
      <c r="I482" s="93"/>
    </row>
    <row r="483" spans="8:9">
      <c r="H483" s="93"/>
      <c r="I483" s="93"/>
    </row>
    <row r="484" spans="8:9">
      <c r="H484" s="93"/>
      <c r="I484" s="93"/>
    </row>
    <row r="485" spans="8:9">
      <c r="H485" s="93"/>
      <c r="I485" s="93"/>
    </row>
    <row r="486" spans="8:9">
      <c r="H486" s="93"/>
      <c r="I486" s="93"/>
    </row>
    <row r="487" spans="8:9">
      <c r="H487" s="93"/>
      <c r="I487" s="93"/>
    </row>
    <row r="488" spans="8:9">
      <c r="H488" s="93"/>
      <c r="I488" s="93"/>
    </row>
    <row r="489" spans="8:9">
      <c r="H489" s="93"/>
      <c r="I489" s="93"/>
    </row>
    <row r="490" spans="8:9">
      <c r="H490" s="93"/>
      <c r="I490" s="93"/>
    </row>
    <row r="491" spans="8:9">
      <c r="H491" s="93"/>
      <c r="I491" s="93"/>
    </row>
    <row r="492" spans="8:9">
      <c r="H492" s="93"/>
      <c r="I492" s="93"/>
    </row>
    <row r="493" spans="8:9">
      <c r="H493" s="93"/>
      <c r="I493" s="93"/>
    </row>
    <row r="494" spans="8:9">
      <c r="H494" s="93"/>
      <c r="I494" s="93"/>
    </row>
    <row r="495" spans="8:9">
      <c r="H495" s="93"/>
      <c r="I495" s="93"/>
    </row>
    <row r="496" spans="8:9">
      <c r="H496" s="93"/>
      <c r="I496" s="93"/>
    </row>
    <row r="497" spans="8:9">
      <c r="H497" s="93"/>
      <c r="I497" s="93"/>
    </row>
    <row r="498" spans="8:9">
      <c r="H498" s="93"/>
      <c r="I498" s="93"/>
    </row>
    <row r="499" spans="8:9">
      <c r="H499" s="93"/>
      <c r="I499" s="93"/>
    </row>
    <row r="500" spans="8:9">
      <c r="H500" s="93"/>
      <c r="I500" s="93"/>
    </row>
    <row r="501" spans="8:9">
      <c r="H501" s="93"/>
      <c r="I501" s="93"/>
    </row>
    <row r="502" spans="8:9">
      <c r="H502" s="93"/>
      <c r="I502" s="93"/>
    </row>
    <row r="503" spans="8:9">
      <c r="H503" s="93"/>
      <c r="I503" s="93"/>
    </row>
    <row r="504" spans="8:9">
      <c r="H504" s="93"/>
      <c r="I504" s="93"/>
    </row>
    <row r="505" spans="8:9">
      <c r="H505" s="93"/>
      <c r="I505" s="93"/>
    </row>
    <row r="506" spans="8:9">
      <c r="H506" s="93"/>
      <c r="I506" s="93"/>
    </row>
    <row r="507" spans="8:9">
      <c r="H507" s="93"/>
      <c r="I507" s="93"/>
    </row>
    <row r="508" spans="8:9">
      <c r="H508" s="93"/>
      <c r="I508" s="93"/>
    </row>
    <row r="509" spans="8:9">
      <c r="H509" s="93"/>
      <c r="I509" s="93"/>
    </row>
    <row r="510" spans="8:9">
      <c r="H510" s="93"/>
      <c r="I510" s="93"/>
    </row>
    <row r="511" spans="8:9">
      <c r="H511" s="93"/>
      <c r="I511" s="93"/>
    </row>
    <row r="512" spans="8:9">
      <c r="H512" s="93"/>
      <c r="I512" s="93"/>
    </row>
    <row r="513" spans="8:9">
      <c r="H513" s="93"/>
      <c r="I513" s="93"/>
    </row>
    <row r="514" spans="8:9">
      <c r="H514" s="93"/>
      <c r="I514" s="93"/>
    </row>
    <row r="515" spans="8:9">
      <c r="H515" s="93"/>
      <c r="I515" s="93"/>
    </row>
    <row r="516" spans="8:9">
      <c r="H516" s="93"/>
      <c r="I516" s="93"/>
    </row>
    <row r="517" spans="8:9">
      <c r="H517" s="93"/>
      <c r="I517" s="93"/>
    </row>
    <row r="518" spans="8:9">
      <c r="H518" s="93"/>
      <c r="I518" s="93"/>
    </row>
    <row r="519" spans="8:9">
      <c r="H519" s="93"/>
      <c r="I519" s="93"/>
    </row>
    <row r="520" spans="8:9">
      <c r="H520" s="93"/>
      <c r="I520" s="93"/>
    </row>
    <row r="521" spans="8:9">
      <c r="H521" s="93"/>
      <c r="I521" s="93"/>
    </row>
    <row r="522" spans="8:9">
      <c r="H522" s="93"/>
      <c r="I522" s="93"/>
    </row>
    <row r="523" spans="8:9">
      <c r="H523" s="93"/>
      <c r="I523" s="93"/>
    </row>
    <row r="524" spans="8:9">
      <c r="H524" s="93"/>
      <c r="I524" s="93"/>
    </row>
    <row r="525" spans="8:9">
      <c r="H525" s="93"/>
      <c r="I525" s="93"/>
    </row>
    <row r="526" spans="8:9">
      <c r="H526" s="93"/>
      <c r="I526" s="93"/>
    </row>
    <row r="527" spans="8:9">
      <c r="H527" s="93"/>
      <c r="I527" s="93"/>
    </row>
    <row r="528" spans="8:9">
      <c r="H528" s="93"/>
      <c r="I528" s="93"/>
    </row>
    <row r="529" spans="8:9">
      <c r="H529" s="93"/>
      <c r="I529" s="93"/>
    </row>
    <row r="530" spans="8:9">
      <c r="H530" s="93"/>
      <c r="I530" s="93"/>
    </row>
    <row r="531" spans="8:9">
      <c r="H531" s="93"/>
      <c r="I531" s="93"/>
    </row>
    <row r="532" spans="8:9">
      <c r="H532" s="93"/>
      <c r="I532" s="93"/>
    </row>
    <row r="533" spans="8:9">
      <c r="H533" s="93"/>
      <c r="I533" s="93"/>
    </row>
    <row r="534" spans="8:9">
      <c r="H534" s="93"/>
      <c r="I534" s="93"/>
    </row>
    <row r="535" spans="8:9">
      <c r="H535" s="93"/>
      <c r="I535" s="93"/>
    </row>
    <row r="536" spans="8:9">
      <c r="H536" s="93"/>
      <c r="I536" s="93"/>
    </row>
    <row r="537" spans="8:9">
      <c r="H537" s="93"/>
      <c r="I537" s="93"/>
    </row>
    <row r="538" spans="8:9">
      <c r="H538" s="93"/>
      <c r="I538" s="93"/>
    </row>
    <row r="539" spans="8:9">
      <c r="H539" s="93"/>
      <c r="I539" s="93"/>
    </row>
    <row r="540" spans="8:9">
      <c r="H540" s="93"/>
      <c r="I540" s="93"/>
    </row>
    <row r="541" spans="8:9">
      <c r="H541" s="93"/>
      <c r="I541" s="93"/>
    </row>
    <row r="542" spans="8:9">
      <c r="H542" s="93"/>
      <c r="I542" s="93"/>
    </row>
    <row r="543" spans="8:9">
      <c r="H543" s="93"/>
      <c r="I543" s="93"/>
    </row>
    <row r="544" spans="8:9">
      <c r="H544" s="93"/>
      <c r="I544" s="93"/>
    </row>
    <row r="545" spans="8:9">
      <c r="H545" s="93"/>
      <c r="I545" s="93"/>
    </row>
    <row r="546" spans="8:9">
      <c r="H546" s="93"/>
      <c r="I546" s="93"/>
    </row>
    <row r="547" spans="8:9">
      <c r="H547" s="93"/>
      <c r="I547" s="93"/>
    </row>
    <row r="548" spans="8:9">
      <c r="H548" s="93"/>
      <c r="I548" s="93"/>
    </row>
    <row r="549" spans="8:9">
      <c r="H549" s="93"/>
      <c r="I549" s="93"/>
    </row>
    <row r="550" spans="8:9">
      <c r="H550" s="93"/>
      <c r="I550" s="93"/>
    </row>
    <row r="551" spans="8:9">
      <c r="H551" s="93"/>
      <c r="I551" s="93"/>
    </row>
    <row r="552" spans="8:9">
      <c r="H552" s="93"/>
      <c r="I552" s="93"/>
    </row>
    <row r="553" spans="8:9">
      <c r="H553" s="93"/>
      <c r="I553" s="93"/>
    </row>
    <row r="554" spans="8:9">
      <c r="H554" s="93"/>
      <c r="I554" s="93"/>
    </row>
    <row r="555" spans="8:9">
      <c r="H555" s="93"/>
      <c r="I555" s="93"/>
    </row>
    <row r="556" spans="8:9">
      <c r="H556" s="93"/>
      <c r="I556" s="93"/>
    </row>
    <row r="557" spans="8:9">
      <c r="H557" s="93"/>
      <c r="I557" s="93"/>
    </row>
    <row r="558" spans="8:9">
      <c r="H558" s="93"/>
      <c r="I558" s="93"/>
    </row>
    <row r="559" spans="8:9">
      <c r="H559" s="93"/>
      <c r="I559" s="93"/>
    </row>
    <row r="560" spans="8:9">
      <c r="H560" s="93"/>
      <c r="I560" s="93"/>
    </row>
    <row r="561" spans="8:9">
      <c r="H561" s="93"/>
      <c r="I561" s="93"/>
    </row>
    <row r="562" spans="8:9">
      <c r="H562" s="93"/>
      <c r="I562" s="93"/>
    </row>
    <row r="563" spans="8:9">
      <c r="H563" s="93"/>
      <c r="I563" s="93"/>
    </row>
    <row r="564" spans="8:9">
      <c r="H564" s="93"/>
      <c r="I564" s="93"/>
    </row>
    <row r="565" spans="8:9">
      <c r="H565" s="93"/>
      <c r="I565" s="93"/>
    </row>
    <row r="566" spans="8:9">
      <c r="H566" s="93"/>
      <c r="I566" s="93"/>
    </row>
    <row r="567" spans="8:9">
      <c r="H567" s="93"/>
      <c r="I567" s="93"/>
    </row>
    <row r="568" spans="8:9">
      <c r="H568" s="93"/>
      <c r="I568" s="93"/>
    </row>
    <row r="569" spans="8:9">
      <c r="H569" s="93"/>
      <c r="I569" s="93"/>
    </row>
    <row r="570" spans="8:9">
      <c r="H570" s="93"/>
      <c r="I570" s="93"/>
    </row>
    <row r="571" spans="8:9">
      <c r="H571" s="93"/>
      <c r="I571" s="93"/>
    </row>
    <row r="572" spans="8:9">
      <c r="H572" s="93"/>
      <c r="I572" s="93"/>
    </row>
    <row r="573" spans="8:9">
      <c r="H573" s="93"/>
      <c r="I573" s="93"/>
    </row>
    <row r="574" spans="8:9">
      <c r="H574" s="93"/>
      <c r="I574" s="93"/>
    </row>
    <row r="575" spans="8:9">
      <c r="H575" s="93"/>
      <c r="I575" s="93"/>
    </row>
    <row r="576" spans="8:9">
      <c r="H576" s="93"/>
      <c r="I576" s="93"/>
    </row>
    <row r="577" spans="8:9">
      <c r="H577" s="93"/>
      <c r="I577" s="93"/>
    </row>
    <row r="578" spans="8:9">
      <c r="H578" s="93"/>
      <c r="I578" s="93"/>
    </row>
    <row r="579" spans="8:9">
      <c r="H579" s="93"/>
      <c r="I579" s="93"/>
    </row>
    <row r="580" spans="8:9">
      <c r="H580" s="93"/>
      <c r="I580" s="93"/>
    </row>
    <row r="581" spans="8:9">
      <c r="H581" s="93"/>
      <c r="I581" s="93"/>
    </row>
    <row r="582" spans="8:9">
      <c r="H582" s="93"/>
      <c r="I582" s="93"/>
    </row>
    <row r="583" spans="8:9">
      <c r="H583" s="93"/>
      <c r="I583" s="93"/>
    </row>
    <row r="584" spans="8:9">
      <c r="H584" s="93"/>
      <c r="I584" s="93"/>
    </row>
    <row r="585" spans="8:9">
      <c r="H585" s="93"/>
      <c r="I585" s="93"/>
    </row>
    <row r="586" spans="8:9">
      <c r="H586" s="93"/>
      <c r="I586" s="93"/>
    </row>
    <row r="587" spans="8:9">
      <c r="H587" s="93"/>
      <c r="I587" s="93"/>
    </row>
    <row r="588" spans="8:9">
      <c r="H588" s="93"/>
      <c r="I588" s="93"/>
    </row>
    <row r="589" spans="8:9">
      <c r="H589" s="93"/>
      <c r="I589" s="93"/>
    </row>
    <row r="590" spans="8:9">
      <c r="H590" s="93"/>
      <c r="I590" s="93"/>
    </row>
    <row r="591" spans="8:9">
      <c r="H591" s="93"/>
      <c r="I591" s="93"/>
    </row>
    <row r="592" spans="8:9">
      <c r="H592" s="93"/>
      <c r="I592" s="93"/>
    </row>
    <row r="593" spans="8:9">
      <c r="H593" s="93"/>
      <c r="I593" s="93"/>
    </row>
    <row r="594" spans="8:9">
      <c r="H594" s="93"/>
      <c r="I594" s="93"/>
    </row>
    <row r="595" spans="8:9">
      <c r="H595" s="93"/>
      <c r="I595" s="93"/>
    </row>
    <row r="596" spans="8:9">
      <c r="H596" s="93"/>
      <c r="I596" s="93"/>
    </row>
    <row r="597" spans="8:9">
      <c r="H597" s="93"/>
      <c r="I597" s="93"/>
    </row>
    <row r="598" spans="8:9">
      <c r="H598" s="93"/>
      <c r="I598" s="93"/>
    </row>
    <row r="599" spans="8:9">
      <c r="H599" s="93"/>
      <c r="I599" s="93"/>
    </row>
    <row r="600" spans="8:9">
      <c r="H600" s="93"/>
      <c r="I600" s="93"/>
    </row>
    <row r="601" spans="8:9">
      <c r="H601" s="93"/>
      <c r="I601" s="93"/>
    </row>
    <row r="602" spans="8:9">
      <c r="H602" s="93"/>
      <c r="I602" s="93"/>
    </row>
    <row r="603" spans="8:9">
      <c r="H603" s="93"/>
      <c r="I603" s="93"/>
    </row>
    <row r="604" spans="8:9">
      <c r="H604" s="93"/>
      <c r="I604" s="93"/>
    </row>
    <row r="605" spans="8:9">
      <c r="H605" s="93"/>
      <c r="I605" s="93"/>
    </row>
    <row r="606" spans="8:9">
      <c r="H606" s="93"/>
      <c r="I606" s="93"/>
    </row>
    <row r="607" spans="8:9">
      <c r="H607" s="93"/>
      <c r="I607" s="93"/>
    </row>
    <row r="608" spans="8:9">
      <c r="H608" s="93"/>
      <c r="I608" s="93"/>
    </row>
    <row r="609" spans="8:9">
      <c r="H609" s="93"/>
      <c r="I609" s="93"/>
    </row>
    <row r="610" spans="8:9">
      <c r="H610" s="93"/>
      <c r="I610" s="93"/>
    </row>
    <row r="611" spans="8:9">
      <c r="H611" s="93"/>
      <c r="I611" s="93"/>
    </row>
    <row r="612" spans="8:9">
      <c r="H612" s="93"/>
      <c r="I612" s="93"/>
    </row>
    <row r="613" spans="8:9">
      <c r="H613" s="93"/>
      <c r="I613" s="93"/>
    </row>
    <row r="614" spans="8:9">
      <c r="H614" s="93"/>
      <c r="I614" s="93"/>
    </row>
    <row r="615" spans="8:9">
      <c r="H615" s="93"/>
      <c r="I615" s="93"/>
    </row>
    <row r="616" spans="8:9">
      <c r="H616" s="93"/>
      <c r="I616" s="93"/>
    </row>
    <row r="617" spans="8:9">
      <c r="H617" s="93"/>
      <c r="I617" s="93"/>
    </row>
    <row r="618" spans="8:9">
      <c r="H618" s="93"/>
      <c r="I618" s="93"/>
    </row>
    <row r="619" spans="8:9">
      <c r="H619" s="93"/>
      <c r="I619" s="93"/>
    </row>
    <row r="620" spans="8:9">
      <c r="H620" s="93"/>
      <c r="I620" s="93"/>
    </row>
    <row r="621" spans="8:9">
      <c r="H621" s="93"/>
      <c r="I621" s="93"/>
    </row>
    <row r="622" spans="8:9">
      <c r="H622" s="93"/>
      <c r="I622" s="93"/>
    </row>
    <row r="623" spans="8:9">
      <c r="H623" s="93"/>
      <c r="I623" s="93"/>
    </row>
    <row r="624" spans="8:9">
      <c r="H624" s="93"/>
      <c r="I624" s="93"/>
    </row>
    <row r="625" spans="8:9">
      <c r="H625" s="93"/>
      <c r="I625" s="93"/>
    </row>
    <row r="626" spans="8:9">
      <c r="H626" s="93"/>
      <c r="I626" s="93"/>
    </row>
    <row r="627" spans="8:9">
      <c r="H627" s="93"/>
      <c r="I627" s="93"/>
    </row>
    <row r="628" spans="8:9">
      <c r="H628" s="93"/>
      <c r="I628" s="93"/>
    </row>
    <row r="629" spans="8:9">
      <c r="H629" s="93"/>
      <c r="I629" s="93"/>
    </row>
    <row r="630" spans="8:9">
      <c r="H630" s="93"/>
      <c r="I630" s="93"/>
    </row>
    <row r="631" spans="8:9">
      <c r="H631" s="93"/>
      <c r="I631" s="93"/>
    </row>
    <row r="632" spans="8:9">
      <c r="H632" s="93"/>
      <c r="I632" s="93"/>
    </row>
    <row r="633" spans="8:9">
      <c r="H633" s="93"/>
      <c r="I633" s="93"/>
    </row>
    <row r="634" spans="8:9">
      <c r="H634" s="93"/>
      <c r="I634" s="93"/>
    </row>
    <row r="635" spans="8:9">
      <c r="H635" s="93"/>
      <c r="I635" s="93"/>
    </row>
    <row r="636" spans="8:9">
      <c r="H636" s="93"/>
      <c r="I636" s="93"/>
    </row>
    <row r="637" spans="8:9">
      <c r="H637" s="93"/>
      <c r="I637" s="93"/>
    </row>
    <row r="638" spans="8:9">
      <c r="H638" s="93"/>
      <c r="I638" s="93"/>
    </row>
    <row r="639" spans="8:9">
      <c r="H639" s="93"/>
      <c r="I639" s="93"/>
    </row>
    <row r="640" spans="8:9">
      <c r="H640" s="93"/>
      <c r="I640" s="93"/>
    </row>
    <row r="641" spans="8:9">
      <c r="H641" s="93"/>
      <c r="I641" s="93"/>
    </row>
    <row r="642" spans="8:9">
      <c r="H642" s="93"/>
      <c r="I642" s="93"/>
    </row>
    <row r="643" spans="8:9">
      <c r="H643" s="93"/>
      <c r="I643" s="93"/>
    </row>
    <row r="644" spans="8:9">
      <c r="H644" s="93"/>
      <c r="I644" s="93"/>
    </row>
    <row r="645" spans="8:9">
      <c r="H645" s="93"/>
      <c r="I645" s="93"/>
    </row>
    <row r="646" spans="8:9">
      <c r="H646" s="93"/>
      <c r="I646" s="93"/>
    </row>
    <row r="647" spans="8:9">
      <c r="H647" s="93"/>
      <c r="I647" s="93"/>
    </row>
    <row r="648" spans="8:9">
      <c r="H648" s="93"/>
      <c r="I648" s="93"/>
    </row>
    <row r="649" spans="8:9">
      <c r="H649" s="93"/>
      <c r="I649" s="93"/>
    </row>
    <row r="650" spans="8:9">
      <c r="H650" s="93"/>
      <c r="I650" s="93"/>
    </row>
    <row r="651" spans="8:9">
      <c r="H651" s="93"/>
      <c r="I651" s="93"/>
    </row>
    <row r="652" spans="8:9">
      <c r="H652" s="93"/>
      <c r="I652" s="93"/>
    </row>
    <row r="653" spans="8:9">
      <c r="H653" s="93"/>
      <c r="I653" s="93"/>
    </row>
    <row r="654" spans="8:9">
      <c r="H654" s="93"/>
      <c r="I654" s="93"/>
    </row>
    <row r="655" spans="8:9">
      <c r="H655" s="93"/>
      <c r="I655" s="93"/>
    </row>
    <row r="656" spans="8:9">
      <c r="H656" s="93"/>
      <c r="I656" s="93"/>
    </row>
    <row r="657" spans="8:9">
      <c r="H657" s="93"/>
      <c r="I657" s="93"/>
    </row>
    <row r="658" spans="8:9">
      <c r="H658" s="93"/>
      <c r="I658" s="93"/>
    </row>
    <row r="659" spans="8:9">
      <c r="H659" s="93"/>
      <c r="I659" s="93"/>
    </row>
    <row r="660" spans="8:9">
      <c r="H660" s="93"/>
      <c r="I660" s="93"/>
    </row>
    <row r="661" spans="8:9">
      <c r="H661" s="93"/>
      <c r="I661" s="93"/>
    </row>
    <row r="662" spans="8:9">
      <c r="H662" s="93"/>
      <c r="I662" s="93"/>
    </row>
    <row r="663" spans="8:9">
      <c r="H663" s="93"/>
      <c r="I663" s="93"/>
    </row>
    <row r="664" spans="8:9">
      <c r="H664" s="93"/>
      <c r="I664" s="93"/>
    </row>
    <row r="665" spans="8:9">
      <c r="H665" s="93"/>
      <c r="I665" s="93"/>
    </row>
    <row r="666" spans="8:9">
      <c r="H666" s="93"/>
      <c r="I666" s="93"/>
    </row>
    <row r="667" spans="8:9">
      <c r="H667" s="93"/>
      <c r="I667" s="93"/>
    </row>
    <row r="668" spans="8:9">
      <c r="H668" s="93"/>
      <c r="I668" s="93"/>
    </row>
    <row r="669" spans="8:9">
      <c r="H669" s="93"/>
      <c r="I669" s="93"/>
    </row>
    <row r="670" spans="8:9">
      <c r="H670" s="93"/>
      <c r="I670" s="93"/>
    </row>
    <row r="671" spans="8:9">
      <c r="H671" s="93"/>
      <c r="I671" s="93"/>
    </row>
    <row r="672" spans="8:9">
      <c r="H672" s="93"/>
      <c r="I672" s="93"/>
    </row>
    <row r="673" spans="8:9">
      <c r="H673" s="93"/>
      <c r="I673" s="93"/>
    </row>
    <row r="674" spans="8:9">
      <c r="H674" s="93"/>
      <c r="I674" s="93"/>
    </row>
    <row r="675" spans="8:9">
      <c r="H675" s="93"/>
      <c r="I675" s="93"/>
    </row>
    <row r="676" spans="8:9">
      <c r="H676" s="93"/>
      <c r="I676" s="93"/>
    </row>
    <row r="677" spans="8:9">
      <c r="H677" s="93"/>
      <c r="I677" s="93"/>
    </row>
    <row r="678" spans="8:9">
      <c r="H678" s="93"/>
      <c r="I678" s="93"/>
    </row>
    <row r="679" spans="8:9">
      <c r="H679" s="93"/>
      <c r="I679" s="93"/>
    </row>
    <row r="680" spans="8:9">
      <c r="H680" s="93"/>
      <c r="I680" s="93"/>
    </row>
    <row r="681" spans="8:9">
      <c r="H681" s="93"/>
      <c r="I681" s="93"/>
    </row>
    <row r="682" spans="8:9">
      <c r="H682" s="93"/>
      <c r="I682" s="93"/>
    </row>
    <row r="683" spans="8:9">
      <c r="H683" s="93"/>
      <c r="I683" s="93"/>
    </row>
    <row r="684" spans="8:9">
      <c r="H684" s="93"/>
      <c r="I684" s="93"/>
    </row>
    <row r="685" spans="8:9">
      <c r="H685" s="93"/>
      <c r="I685" s="93"/>
    </row>
    <row r="686" spans="8:9">
      <c r="H686" s="93"/>
      <c r="I686" s="93"/>
    </row>
    <row r="687" spans="8:9">
      <c r="H687" s="93"/>
      <c r="I687" s="93"/>
    </row>
    <row r="688" spans="8:9">
      <c r="H688" s="93"/>
      <c r="I688" s="93"/>
    </row>
    <row r="689" spans="8:9">
      <c r="H689" s="93"/>
      <c r="I689" s="93"/>
    </row>
    <row r="690" spans="8:9">
      <c r="H690" s="93"/>
      <c r="I690" s="93"/>
    </row>
    <row r="691" spans="8:9">
      <c r="H691" s="93"/>
      <c r="I691" s="93"/>
    </row>
    <row r="692" spans="8:9">
      <c r="H692" s="93"/>
      <c r="I692" s="93"/>
    </row>
    <row r="693" spans="8:9">
      <c r="H693" s="93"/>
      <c r="I693" s="93"/>
    </row>
    <row r="694" spans="8:9">
      <c r="H694" s="93"/>
      <c r="I694" s="93"/>
    </row>
    <row r="695" spans="8:9">
      <c r="H695" s="93"/>
      <c r="I695" s="93"/>
    </row>
    <row r="696" spans="8:9">
      <c r="H696" s="93"/>
      <c r="I696" s="93"/>
    </row>
    <row r="697" spans="8:9">
      <c r="H697" s="93"/>
      <c r="I697" s="93"/>
    </row>
    <row r="698" spans="8:9">
      <c r="H698" s="93"/>
      <c r="I698" s="93"/>
    </row>
    <row r="699" spans="8:9">
      <c r="H699" s="93"/>
      <c r="I699" s="93"/>
    </row>
    <row r="700" spans="8:9">
      <c r="H700" s="93"/>
      <c r="I700" s="93"/>
    </row>
    <row r="701" spans="8:9">
      <c r="H701" s="93"/>
      <c r="I701" s="93"/>
    </row>
    <row r="702" spans="8:9">
      <c r="H702" s="93"/>
      <c r="I702" s="93"/>
    </row>
    <row r="703" spans="8:9">
      <c r="H703" s="93"/>
      <c r="I703" s="93"/>
    </row>
    <row r="704" spans="8:9">
      <c r="H704" s="93"/>
      <c r="I704" s="93"/>
    </row>
    <row r="705" spans="8:9">
      <c r="H705" s="93"/>
      <c r="I705" s="93"/>
    </row>
    <row r="706" spans="8:9">
      <c r="H706" s="93"/>
      <c r="I706" s="93"/>
    </row>
    <row r="707" spans="8:9">
      <c r="H707" s="93"/>
      <c r="I707" s="93"/>
    </row>
    <row r="708" spans="8:9">
      <c r="H708" s="93"/>
      <c r="I708" s="93"/>
    </row>
    <row r="709" spans="8:9">
      <c r="H709" s="93"/>
      <c r="I709" s="93"/>
    </row>
    <row r="710" spans="8:9">
      <c r="H710" s="93"/>
      <c r="I710" s="93"/>
    </row>
    <row r="711" spans="8:9">
      <c r="H711" s="93"/>
      <c r="I711" s="93"/>
    </row>
    <row r="712" spans="8:9">
      <c r="H712" s="93"/>
      <c r="I712" s="93"/>
    </row>
    <row r="713" spans="8:9">
      <c r="H713" s="93"/>
      <c r="I713" s="93"/>
    </row>
    <row r="714" spans="8:9">
      <c r="H714" s="93"/>
      <c r="I714" s="93"/>
    </row>
    <row r="715" spans="8:9">
      <c r="H715" s="93"/>
      <c r="I715" s="93"/>
    </row>
    <row r="716" spans="8:9">
      <c r="H716" s="93"/>
      <c r="I716" s="93"/>
    </row>
    <row r="717" spans="8:9">
      <c r="H717" s="93"/>
      <c r="I717" s="93"/>
    </row>
    <row r="718" spans="8:9">
      <c r="H718" s="93"/>
      <c r="I718" s="93"/>
    </row>
    <row r="719" spans="8:9">
      <c r="H719" s="93"/>
      <c r="I719" s="93"/>
    </row>
    <row r="720" spans="8:9">
      <c r="H720" s="93"/>
      <c r="I720" s="93"/>
    </row>
    <row r="721" spans="8:9">
      <c r="H721" s="93"/>
      <c r="I721" s="93"/>
    </row>
    <row r="722" spans="8:9">
      <c r="H722" s="93"/>
      <c r="I722" s="93"/>
    </row>
    <row r="723" spans="8:9">
      <c r="H723" s="93"/>
      <c r="I723" s="93"/>
    </row>
    <row r="724" spans="8:9">
      <c r="H724" s="93"/>
      <c r="I724" s="93"/>
    </row>
    <row r="725" spans="8:9">
      <c r="H725" s="93"/>
      <c r="I725" s="93"/>
    </row>
    <row r="726" spans="8:9">
      <c r="H726" s="93"/>
      <c r="I726" s="93"/>
    </row>
    <row r="727" spans="8:9">
      <c r="H727" s="93"/>
      <c r="I727" s="93"/>
    </row>
    <row r="728" spans="8:9">
      <c r="H728" s="93"/>
      <c r="I728" s="93"/>
    </row>
    <row r="729" spans="8:9">
      <c r="H729" s="93"/>
      <c r="I729" s="93"/>
    </row>
    <row r="730" spans="8:9">
      <c r="H730" s="93"/>
      <c r="I730" s="93"/>
    </row>
    <row r="731" spans="8:9">
      <c r="H731" s="93"/>
      <c r="I731" s="93"/>
    </row>
    <row r="732" spans="8:9">
      <c r="H732" s="93"/>
      <c r="I732" s="93"/>
    </row>
    <row r="733" spans="8:9">
      <c r="H733" s="93"/>
      <c r="I733" s="93"/>
    </row>
    <row r="734" spans="8:9">
      <c r="H734" s="93"/>
      <c r="I734" s="93"/>
    </row>
    <row r="735" spans="8:9">
      <c r="H735" s="93"/>
      <c r="I735" s="93"/>
    </row>
    <row r="736" spans="8:9">
      <c r="H736" s="93"/>
      <c r="I736" s="93"/>
    </row>
    <row r="737" spans="8:9">
      <c r="H737" s="93"/>
      <c r="I737" s="93"/>
    </row>
    <row r="738" spans="8:9">
      <c r="H738" s="93"/>
      <c r="I738" s="93"/>
    </row>
    <row r="739" spans="8:9">
      <c r="H739" s="93"/>
      <c r="I739" s="93"/>
    </row>
    <row r="740" spans="8:9">
      <c r="H740" s="93"/>
      <c r="I740" s="93"/>
    </row>
    <row r="741" spans="8:9">
      <c r="H741" s="93"/>
      <c r="I741" s="93"/>
    </row>
    <row r="742" spans="8:9">
      <c r="H742" s="93"/>
      <c r="I742" s="93"/>
    </row>
    <row r="743" spans="8:9">
      <c r="H743" s="93"/>
      <c r="I743" s="93"/>
    </row>
    <row r="744" spans="8:9">
      <c r="H744" s="93"/>
      <c r="I744" s="93"/>
    </row>
    <row r="745" spans="8:9">
      <c r="H745" s="93"/>
      <c r="I745" s="93"/>
    </row>
    <row r="746" spans="8:9">
      <c r="H746" s="93"/>
      <c r="I746" s="93"/>
    </row>
    <row r="747" spans="8:9">
      <c r="H747" s="93"/>
      <c r="I747" s="93"/>
    </row>
    <row r="748" spans="8:9">
      <c r="H748" s="93"/>
      <c r="I748" s="93"/>
    </row>
    <row r="749" spans="8:9">
      <c r="H749" s="93"/>
      <c r="I749" s="93"/>
    </row>
    <row r="750" spans="8:9">
      <c r="H750" s="93"/>
      <c r="I750" s="93"/>
    </row>
    <row r="751" spans="8:9">
      <c r="H751" s="93"/>
      <c r="I751" s="93"/>
    </row>
    <row r="752" spans="8:9">
      <c r="H752" s="93"/>
      <c r="I752" s="93"/>
    </row>
    <row r="753" spans="8:9">
      <c r="H753" s="93"/>
      <c r="I753" s="93"/>
    </row>
    <row r="754" spans="8:9">
      <c r="H754" s="93"/>
      <c r="I754" s="93"/>
    </row>
    <row r="755" spans="8:9">
      <c r="H755" s="93"/>
      <c r="I755" s="93"/>
    </row>
    <row r="756" spans="8:9">
      <c r="H756" s="93"/>
      <c r="I756" s="93"/>
    </row>
    <row r="757" spans="8:9">
      <c r="H757" s="93"/>
      <c r="I757" s="93"/>
    </row>
    <row r="758" spans="8:9">
      <c r="H758" s="93"/>
      <c r="I758" s="93"/>
    </row>
    <row r="759" spans="8:9">
      <c r="H759" s="93"/>
      <c r="I759" s="93"/>
    </row>
    <row r="760" spans="8:9">
      <c r="H760" s="93"/>
      <c r="I760" s="93"/>
    </row>
    <row r="761" spans="8:9">
      <c r="H761" s="93"/>
      <c r="I761" s="93"/>
    </row>
    <row r="762" spans="8:9">
      <c r="H762" s="93"/>
      <c r="I762" s="93"/>
    </row>
    <row r="763" spans="8:9">
      <c r="H763" s="93"/>
      <c r="I763" s="93"/>
    </row>
    <row r="764" spans="8:9">
      <c r="H764" s="93"/>
      <c r="I764" s="93"/>
    </row>
    <row r="765" spans="8:9">
      <c r="H765" s="93"/>
      <c r="I765" s="93"/>
    </row>
    <row r="766" spans="8:9">
      <c r="H766" s="93"/>
      <c r="I766" s="93"/>
    </row>
    <row r="767" spans="8:9">
      <c r="H767" s="93"/>
      <c r="I767" s="93"/>
    </row>
    <row r="768" spans="8:9">
      <c r="H768" s="93"/>
      <c r="I768" s="93"/>
    </row>
    <row r="769" spans="8:9">
      <c r="H769" s="93"/>
      <c r="I769" s="93"/>
    </row>
    <row r="770" spans="8:9">
      <c r="H770" s="93"/>
      <c r="I770" s="93"/>
    </row>
    <row r="771" spans="8:9">
      <c r="H771" s="93"/>
      <c r="I771" s="93"/>
    </row>
    <row r="772" spans="8:9">
      <c r="H772" s="93"/>
      <c r="I772" s="93"/>
    </row>
    <row r="773" spans="8:9">
      <c r="H773" s="93"/>
      <c r="I773" s="93"/>
    </row>
    <row r="774" spans="8:9">
      <c r="H774" s="93"/>
      <c r="I774" s="93"/>
    </row>
    <row r="775" spans="8:9">
      <c r="H775" s="93"/>
      <c r="I775" s="93"/>
    </row>
    <row r="776" spans="8:9">
      <c r="H776" s="93"/>
      <c r="I776" s="93"/>
    </row>
    <row r="777" spans="8:9">
      <c r="H777" s="93"/>
      <c r="I777" s="93"/>
    </row>
    <row r="778" spans="8:9">
      <c r="H778" s="93"/>
      <c r="I778" s="93"/>
    </row>
    <row r="779" spans="8:9">
      <c r="H779" s="93"/>
      <c r="I779" s="93"/>
    </row>
    <row r="780" spans="8:9">
      <c r="H780" s="93"/>
      <c r="I780" s="93"/>
    </row>
    <row r="781" spans="8:9">
      <c r="H781" s="93"/>
      <c r="I781" s="93"/>
    </row>
    <row r="782" spans="8:9">
      <c r="H782" s="93"/>
      <c r="I782" s="93"/>
    </row>
    <row r="783" spans="8:9">
      <c r="H783" s="93"/>
      <c r="I783" s="93"/>
    </row>
    <row r="784" spans="8:9">
      <c r="H784" s="93"/>
      <c r="I784" s="93"/>
    </row>
    <row r="785" spans="8:9">
      <c r="H785" s="93"/>
      <c r="I785" s="93"/>
    </row>
    <row r="786" spans="8:9">
      <c r="H786" s="93"/>
      <c r="I786" s="93"/>
    </row>
    <row r="787" spans="8:9">
      <c r="H787" s="93"/>
      <c r="I787" s="93"/>
    </row>
    <row r="788" spans="8:9">
      <c r="H788" s="93"/>
      <c r="I788" s="93"/>
    </row>
    <row r="789" spans="8:9">
      <c r="H789" s="93"/>
      <c r="I789" s="93"/>
    </row>
    <row r="790" spans="8:9">
      <c r="H790" s="93"/>
      <c r="I790" s="93"/>
    </row>
    <row r="791" spans="8:9">
      <c r="H791" s="93"/>
      <c r="I791" s="93"/>
    </row>
    <row r="792" spans="8:9">
      <c r="H792" s="93"/>
      <c r="I792" s="93"/>
    </row>
    <row r="793" spans="8:9">
      <c r="H793" s="93"/>
      <c r="I793" s="93"/>
    </row>
    <row r="794" spans="8:9">
      <c r="H794" s="93"/>
      <c r="I794" s="93"/>
    </row>
    <row r="795" spans="8:9">
      <c r="H795" s="93"/>
      <c r="I795" s="93"/>
    </row>
    <row r="796" spans="8:9">
      <c r="H796" s="93"/>
      <c r="I796" s="93"/>
    </row>
    <row r="797" spans="8:9">
      <c r="H797" s="93"/>
      <c r="I797" s="93"/>
    </row>
    <row r="798" spans="8:9">
      <c r="H798" s="93"/>
      <c r="I798" s="93"/>
    </row>
    <row r="799" spans="8:9">
      <c r="H799" s="93"/>
      <c r="I799" s="93"/>
    </row>
    <row r="800" spans="8:9">
      <c r="H800" s="93"/>
      <c r="I800" s="93"/>
    </row>
    <row r="801" spans="8:9">
      <c r="H801" s="93"/>
      <c r="I801" s="93"/>
    </row>
    <row r="802" spans="8:9">
      <c r="H802" s="93"/>
      <c r="I802" s="93"/>
    </row>
    <row r="803" spans="8:9">
      <c r="H803" s="93"/>
      <c r="I803" s="93"/>
    </row>
    <row r="804" spans="8:9">
      <c r="H804" s="93"/>
      <c r="I804" s="93"/>
    </row>
    <row r="805" spans="8:9">
      <c r="H805" s="93"/>
      <c r="I805" s="93"/>
    </row>
    <row r="806" spans="8:9">
      <c r="H806" s="93"/>
      <c r="I806" s="93"/>
    </row>
    <row r="807" spans="8:9">
      <c r="H807" s="93"/>
      <c r="I807" s="93"/>
    </row>
    <row r="808" spans="8:9">
      <c r="H808" s="93"/>
      <c r="I808" s="93"/>
    </row>
    <row r="809" spans="8:9">
      <c r="H809" s="93"/>
      <c r="I809" s="93"/>
    </row>
    <row r="810" spans="8:9">
      <c r="H810" s="93"/>
      <c r="I810" s="93"/>
    </row>
    <row r="811" spans="8:9">
      <c r="H811" s="93"/>
      <c r="I811" s="93"/>
    </row>
    <row r="812" spans="8:9">
      <c r="H812" s="93"/>
      <c r="I812" s="93"/>
    </row>
    <row r="813" spans="8:9">
      <c r="H813" s="93"/>
      <c r="I813" s="93"/>
    </row>
    <row r="814" spans="8:9">
      <c r="H814" s="93"/>
      <c r="I814" s="93"/>
    </row>
    <row r="815" spans="8:9">
      <c r="H815" s="93"/>
      <c r="I815" s="93"/>
    </row>
    <row r="816" spans="8:9">
      <c r="H816" s="93"/>
      <c r="I816" s="93"/>
    </row>
    <row r="817" spans="8:9">
      <c r="H817" s="93"/>
      <c r="I817" s="93"/>
    </row>
    <row r="818" spans="8:9">
      <c r="H818" s="93"/>
      <c r="I818" s="93"/>
    </row>
    <row r="819" spans="8:9">
      <c r="H819" s="93"/>
      <c r="I819" s="93"/>
    </row>
    <row r="820" spans="8:9">
      <c r="H820" s="93"/>
      <c r="I820" s="93"/>
    </row>
    <row r="821" spans="8:9">
      <c r="H821" s="93"/>
      <c r="I821" s="93"/>
    </row>
    <row r="822" spans="8:9">
      <c r="H822" s="93"/>
      <c r="I822" s="93"/>
    </row>
    <row r="823" spans="8:9">
      <c r="H823" s="93"/>
      <c r="I823" s="93"/>
    </row>
    <row r="824" spans="8:9">
      <c r="H824" s="93"/>
      <c r="I824" s="93"/>
    </row>
    <row r="825" spans="8:9">
      <c r="H825" s="93"/>
      <c r="I825" s="93"/>
    </row>
    <row r="826" spans="8:9">
      <c r="H826" s="93"/>
      <c r="I826" s="93"/>
    </row>
    <row r="827" spans="8:9">
      <c r="H827" s="93"/>
      <c r="I827" s="93"/>
    </row>
    <row r="828" spans="8:9">
      <c r="H828" s="93"/>
      <c r="I828" s="93"/>
    </row>
    <row r="829" spans="8:9">
      <c r="H829" s="93"/>
      <c r="I829" s="93"/>
    </row>
    <row r="830" spans="8:9">
      <c r="H830" s="93"/>
      <c r="I830" s="93"/>
    </row>
    <row r="831" spans="8:9">
      <c r="H831" s="93"/>
      <c r="I831" s="93"/>
    </row>
    <row r="832" spans="8:9">
      <c r="H832" s="93"/>
      <c r="I832" s="93"/>
    </row>
    <row r="833" spans="8:9">
      <c r="H833" s="93"/>
      <c r="I833" s="93"/>
    </row>
    <row r="834" spans="8:9">
      <c r="H834" s="93"/>
      <c r="I834" s="93"/>
    </row>
    <row r="835" spans="8:9">
      <c r="H835" s="93"/>
      <c r="I835" s="93"/>
    </row>
    <row r="836" spans="8:9">
      <c r="H836" s="93"/>
      <c r="I836" s="93"/>
    </row>
    <row r="837" spans="8:9">
      <c r="H837" s="93"/>
      <c r="I837" s="93"/>
    </row>
    <row r="838" spans="8:9">
      <c r="H838" s="93"/>
      <c r="I838" s="93"/>
    </row>
    <row r="839" spans="8:9">
      <c r="H839" s="93"/>
      <c r="I839" s="93"/>
    </row>
    <row r="840" spans="8:9">
      <c r="H840" s="93"/>
      <c r="I840" s="93"/>
    </row>
    <row r="841" spans="8:9">
      <c r="H841" s="93"/>
      <c r="I841" s="93"/>
    </row>
    <row r="842" spans="8:9">
      <c r="H842" s="93"/>
      <c r="I842" s="93"/>
    </row>
    <row r="843" spans="8:9">
      <c r="H843" s="93"/>
      <c r="I843" s="93"/>
    </row>
    <row r="844" spans="8:9">
      <c r="H844" s="93"/>
      <c r="I844" s="93"/>
    </row>
    <row r="845" spans="8:9">
      <c r="H845" s="93"/>
      <c r="I845" s="93"/>
    </row>
    <row r="846" spans="8:9">
      <c r="H846" s="93"/>
      <c r="I846" s="93"/>
    </row>
    <row r="847" spans="8:9">
      <c r="H847" s="93"/>
      <c r="I847" s="93"/>
    </row>
    <row r="848" spans="8:9">
      <c r="H848" s="93"/>
      <c r="I848" s="93"/>
    </row>
    <row r="849" spans="8:9">
      <c r="H849" s="93"/>
      <c r="I849" s="93"/>
    </row>
    <row r="850" spans="8:9">
      <c r="H850" s="93"/>
      <c r="I850" s="93"/>
    </row>
    <row r="851" spans="8:9">
      <c r="H851" s="93"/>
      <c r="I851" s="93"/>
    </row>
    <row r="852" spans="8:9">
      <c r="H852" s="93"/>
      <c r="I852" s="93"/>
    </row>
    <row r="853" spans="8:9">
      <c r="H853" s="93"/>
      <c r="I853" s="93"/>
    </row>
    <row r="854" spans="8:9">
      <c r="H854" s="93"/>
      <c r="I854" s="93"/>
    </row>
    <row r="855" spans="8:9">
      <c r="H855" s="93"/>
      <c r="I855" s="93"/>
    </row>
    <row r="856" spans="8:9">
      <c r="H856" s="93"/>
      <c r="I856" s="93"/>
    </row>
    <row r="857" spans="8:9">
      <c r="H857" s="93"/>
      <c r="I857" s="93"/>
    </row>
    <row r="858" spans="8:9">
      <c r="H858" s="93"/>
      <c r="I858" s="93"/>
    </row>
    <row r="859" spans="8:9">
      <c r="H859" s="93"/>
      <c r="I859" s="93"/>
    </row>
    <row r="860" spans="8:9">
      <c r="H860" s="93"/>
      <c r="I860" s="93"/>
    </row>
    <row r="861" spans="8:9">
      <c r="H861" s="93"/>
      <c r="I861" s="93"/>
    </row>
    <row r="862" spans="8:9">
      <c r="H862" s="93"/>
      <c r="I862" s="93"/>
    </row>
    <row r="863" spans="8:9">
      <c r="H863" s="93"/>
      <c r="I863" s="93"/>
    </row>
    <row r="864" spans="8:9">
      <c r="H864" s="93"/>
      <c r="I864" s="93"/>
    </row>
    <row r="865" spans="8:9">
      <c r="H865" s="93"/>
      <c r="I865" s="93"/>
    </row>
    <row r="866" spans="8:9">
      <c r="H866" s="93"/>
      <c r="I866" s="93"/>
    </row>
    <row r="867" spans="8:9">
      <c r="H867" s="93"/>
      <c r="I867" s="93"/>
    </row>
    <row r="868" spans="8:9">
      <c r="H868" s="93"/>
      <c r="I868" s="93"/>
    </row>
    <row r="869" spans="8:9">
      <c r="H869" s="93"/>
      <c r="I869" s="93"/>
    </row>
    <row r="870" spans="8:9">
      <c r="H870" s="93"/>
      <c r="I870" s="93"/>
    </row>
    <row r="871" spans="8:9">
      <c r="H871" s="93"/>
      <c r="I871" s="93"/>
    </row>
    <row r="872" spans="8:9">
      <c r="H872" s="93"/>
      <c r="I872" s="93"/>
    </row>
    <row r="873" spans="8:9">
      <c r="H873" s="93"/>
      <c r="I873" s="93"/>
    </row>
    <row r="874" spans="8:9">
      <c r="H874" s="93"/>
      <c r="I874" s="93"/>
    </row>
    <row r="875" spans="8:9">
      <c r="H875" s="93"/>
      <c r="I875" s="93"/>
    </row>
    <row r="876" spans="8:9">
      <c r="H876" s="93"/>
      <c r="I876" s="93"/>
    </row>
    <row r="877" spans="8:9">
      <c r="H877" s="93"/>
      <c r="I877" s="93"/>
    </row>
    <row r="878" spans="8:9">
      <c r="H878" s="93"/>
      <c r="I878" s="93"/>
    </row>
    <row r="879" spans="8:9">
      <c r="H879" s="93"/>
      <c r="I879" s="93"/>
    </row>
    <row r="880" spans="8:9">
      <c r="H880" s="93"/>
      <c r="I880" s="93"/>
    </row>
    <row r="881" spans="8:9">
      <c r="H881" s="93"/>
      <c r="I881" s="93"/>
    </row>
    <row r="882" spans="8:9">
      <c r="H882" s="93"/>
      <c r="I882" s="93"/>
    </row>
    <row r="883" spans="8:9">
      <c r="H883" s="93"/>
      <c r="I883" s="93"/>
    </row>
    <row r="884" spans="8:9">
      <c r="H884" s="93"/>
      <c r="I884" s="93"/>
    </row>
    <row r="885" spans="8:9">
      <c r="H885" s="93"/>
      <c r="I885" s="93"/>
    </row>
    <row r="886" spans="8:9">
      <c r="H886" s="93"/>
      <c r="I886" s="93"/>
    </row>
    <row r="887" spans="8:9">
      <c r="H887" s="93"/>
      <c r="I887" s="93"/>
    </row>
    <row r="888" spans="8:9">
      <c r="H888" s="93"/>
      <c r="I888" s="93"/>
    </row>
    <row r="889" spans="8:9">
      <c r="H889" s="93"/>
      <c r="I889" s="93"/>
    </row>
    <row r="890" spans="8:9">
      <c r="H890" s="93"/>
      <c r="I890" s="93"/>
    </row>
    <row r="891" spans="8:9">
      <c r="H891" s="93"/>
      <c r="I891" s="93"/>
    </row>
    <row r="892" spans="8:9">
      <c r="H892" s="93"/>
      <c r="I892" s="93"/>
    </row>
    <row r="893" spans="8:9">
      <c r="H893" s="93"/>
      <c r="I893" s="93"/>
    </row>
    <row r="894" spans="8:9">
      <c r="H894" s="93"/>
      <c r="I894" s="93"/>
    </row>
    <row r="895" spans="8:9">
      <c r="H895" s="93"/>
      <c r="I895" s="93"/>
    </row>
    <row r="896" spans="8:9">
      <c r="H896" s="93"/>
      <c r="I896" s="93"/>
    </row>
    <row r="897" spans="8:9">
      <c r="H897" s="93"/>
      <c r="I897" s="93"/>
    </row>
    <row r="898" spans="8:9">
      <c r="H898" s="93"/>
      <c r="I898" s="93"/>
    </row>
    <row r="899" spans="8:9">
      <c r="H899" s="93"/>
      <c r="I899" s="93"/>
    </row>
    <row r="900" spans="8:9">
      <c r="H900" s="93"/>
      <c r="I900" s="93"/>
    </row>
    <row r="901" spans="8:9">
      <c r="H901" s="93"/>
      <c r="I901" s="93"/>
    </row>
    <row r="902" spans="8:9">
      <c r="H902" s="93"/>
      <c r="I902" s="93"/>
    </row>
    <row r="903" spans="8:9">
      <c r="H903" s="93"/>
      <c r="I903" s="93"/>
    </row>
    <row r="904" spans="8:9">
      <c r="H904" s="93"/>
      <c r="I904" s="93"/>
    </row>
    <row r="905" spans="8:9">
      <c r="H905" s="93"/>
      <c r="I905" s="93"/>
    </row>
    <row r="906" spans="8:9">
      <c r="H906" s="93"/>
      <c r="I906" s="93"/>
    </row>
    <row r="907" spans="8:9">
      <c r="H907" s="93"/>
      <c r="I907" s="93"/>
    </row>
    <row r="908" spans="8:9">
      <c r="H908" s="93"/>
      <c r="I908" s="93"/>
    </row>
    <row r="909" spans="8:9">
      <c r="H909" s="93"/>
      <c r="I909" s="93"/>
    </row>
    <row r="910" spans="8:9">
      <c r="H910" s="93"/>
      <c r="I910" s="93"/>
    </row>
    <row r="911" spans="8:9">
      <c r="H911" s="93"/>
      <c r="I911" s="93"/>
    </row>
    <row r="912" spans="8:9">
      <c r="H912" s="93"/>
      <c r="I912" s="93"/>
    </row>
    <row r="913" spans="8:9">
      <c r="H913" s="93"/>
      <c r="I913" s="93"/>
    </row>
    <row r="914" spans="8:9">
      <c r="H914" s="93"/>
      <c r="I914" s="93"/>
    </row>
    <row r="915" spans="8:9">
      <c r="H915" s="93"/>
      <c r="I915" s="93"/>
    </row>
    <row r="916" spans="8:9">
      <c r="H916" s="93"/>
      <c r="I916" s="93"/>
    </row>
    <row r="917" spans="8:9">
      <c r="H917" s="93"/>
      <c r="I917" s="93"/>
    </row>
    <row r="918" spans="8:9">
      <c r="H918" s="93"/>
      <c r="I918" s="93"/>
    </row>
    <row r="919" spans="8:9">
      <c r="H919" s="93"/>
      <c r="I919" s="93"/>
    </row>
    <row r="920" spans="8:9">
      <c r="H920" s="93"/>
      <c r="I920" s="93"/>
    </row>
    <row r="921" spans="8:9">
      <c r="H921" s="93"/>
      <c r="I921" s="93"/>
    </row>
    <row r="922" spans="8:9">
      <c r="H922" s="93"/>
      <c r="I922" s="93"/>
    </row>
    <row r="923" spans="8:9">
      <c r="H923" s="93"/>
      <c r="I923" s="93"/>
    </row>
    <row r="924" spans="8:9">
      <c r="H924" s="93"/>
      <c r="I924" s="93"/>
    </row>
    <row r="925" spans="8:9">
      <c r="H925" s="93"/>
      <c r="I925" s="93"/>
    </row>
    <row r="926" spans="8:9">
      <c r="H926" s="93"/>
      <c r="I926" s="93"/>
    </row>
    <row r="927" spans="8:9">
      <c r="H927" s="93"/>
      <c r="I927" s="93"/>
    </row>
    <row r="928" spans="8:9">
      <c r="H928" s="93"/>
      <c r="I928" s="93"/>
    </row>
    <row r="929" spans="8:9">
      <c r="H929" s="93"/>
      <c r="I929" s="93"/>
    </row>
    <row r="930" spans="8:9">
      <c r="H930" s="93"/>
      <c r="I930" s="93"/>
    </row>
    <row r="931" spans="8:9">
      <c r="H931" s="93"/>
      <c r="I931" s="93"/>
    </row>
    <row r="932" spans="8:9">
      <c r="H932" s="93"/>
      <c r="I932" s="93"/>
    </row>
    <row r="933" spans="8:9">
      <c r="H933" s="93"/>
      <c r="I933" s="93"/>
    </row>
    <row r="934" spans="8:9">
      <c r="H934" s="93"/>
      <c r="I934" s="93"/>
    </row>
    <row r="935" spans="8:9">
      <c r="H935" s="93"/>
      <c r="I935" s="93"/>
    </row>
    <row r="936" spans="8:9">
      <c r="H936" s="93"/>
      <c r="I936" s="93"/>
    </row>
    <row r="937" spans="8:9">
      <c r="H937" s="93"/>
      <c r="I937" s="93"/>
    </row>
    <row r="938" spans="8:9">
      <c r="H938" s="93"/>
      <c r="I938" s="93"/>
    </row>
    <row r="939" spans="8:9">
      <c r="H939" s="93"/>
      <c r="I939" s="93"/>
    </row>
    <row r="940" spans="8:9">
      <c r="H940" s="93"/>
      <c r="I940" s="93"/>
    </row>
    <row r="941" spans="8:9">
      <c r="H941" s="93"/>
      <c r="I941" s="93"/>
    </row>
    <row r="942" spans="8:9">
      <c r="H942" s="93"/>
      <c r="I942" s="93"/>
    </row>
    <row r="943" spans="8:9">
      <c r="H943" s="93"/>
      <c r="I943" s="93"/>
    </row>
    <row r="944" spans="8:9">
      <c r="H944" s="93"/>
      <c r="I944" s="93"/>
    </row>
    <row r="945" spans="8:9">
      <c r="H945" s="93"/>
      <c r="I945" s="93"/>
    </row>
    <row r="946" spans="8:9">
      <c r="H946" s="93"/>
      <c r="I946" s="93"/>
    </row>
    <row r="947" spans="8:9">
      <c r="H947" s="93"/>
      <c r="I947" s="93"/>
    </row>
    <row r="948" spans="8:9">
      <c r="H948" s="93"/>
      <c r="I948" s="93"/>
    </row>
    <row r="949" spans="8:9">
      <c r="H949" s="93"/>
      <c r="I949" s="93"/>
    </row>
    <row r="950" spans="8:9">
      <c r="H950" s="93"/>
      <c r="I950" s="93"/>
    </row>
    <row r="951" spans="8:9">
      <c r="H951" s="93"/>
      <c r="I951" s="93"/>
    </row>
    <row r="952" spans="8:9">
      <c r="H952" s="93"/>
      <c r="I952" s="93"/>
    </row>
    <row r="953" spans="8:9">
      <c r="H953" s="93"/>
      <c r="I953" s="93"/>
    </row>
    <row r="954" spans="8:9">
      <c r="H954" s="93"/>
      <c r="I954" s="93"/>
    </row>
    <row r="955" spans="8:9">
      <c r="H955" s="93"/>
      <c r="I955" s="93"/>
    </row>
    <row r="956" spans="8:9">
      <c r="H956" s="93"/>
      <c r="I956" s="93"/>
    </row>
    <row r="957" spans="8:9">
      <c r="H957" s="93"/>
      <c r="I957" s="93"/>
    </row>
    <row r="958" spans="8:9">
      <c r="H958" s="93"/>
      <c r="I958" s="93"/>
    </row>
    <row r="959" spans="8:9">
      <c r="H959" s="93"/>
      <c r="I959" s="93"/>
    </row>
    <row r="960" spans="8:9">
      <c r="H960" s="93"/>
      <c r="I960" s="93"/>
    </row>
    <row r="961" spans="8:9">
      <c r="H961" s="93"/>
      <c r="I961" s="93"/>
    </row>
    <row r="962" spans="8:9">
      <c r="H962" s="93"/>
      <c r="I962" s="93"/>
    </row>
    <row r="963" spans="8:9">
      <c r="H963" s="93"/>
      <c r="I963" s="93"/>
    </row>
    <row r="964" spans="8:9">
      <c r="H964" s="93"/>
      <c r="I964" s="93"/>
    </row>
    <row r="965" spans="8:9">
      <c r="H965" s="93"/>
      <c r="I965" s="93"/>
    </row>
    <row r="966" spans="8:9">
      <c r="H966" s="93"/>
      <c r="I966" s="93"/>
    </row>
    <row r="967" spans="8:9">
      <c r="H967" s="93"/>
      <c r="I967" s="93"/>
    </row>
    <row r="968" spans="8:9">
      <c r="H968" s="93"/>
      <c r="I968" s="93"/>
    </row>
    <row r="969" spans="8:9">
      <c r="H969" s="93"/>
      <c r="I969" s="93"/>
    </row>
    <row r="970" spans="8:9">
      <c r="H970" s="93"/>
      <c r="I970" s="93"/>
    </row>
    <row r="971" spans="8:9">
      <c r="H971" s="93"/>
      <c r="I971" s="93"/>
    </row>
    <row r="972" spans="8:9">
      <c r="H972" s="93"/>
      <c r="I972" s="93"/>
    </row>
    <row r="973" spans="8:9">
      <c r="H973" s="93"/>
      <c r="I973" s="93"/>
    </row>
    <row r="974" spans="8:9">
      <c r="H974" s="93"/>
      <c r="I974" s="93"/>
    </row>
    <row r="975" spans="8:9">
      <c r="H975" s="93"/>
      <c r="I975" s="93"/>
    </row>
    <row r="976" spans="8:9">
      <c r="H976" s="93"/>
      <c r="I976" s="93"/>
    </row>
    <row r="977" spans="8:9">
      <c r="H977" s="93"/>
      <c r="I977" s="93"/>
    </row>
    <row r="978" spans="8:9">
      <c r="H978" s="93"/>
      <c r="I978" s="93"/>
    </row>
    <row r="979" spans="8:9">
      <c r="H979" s="93"/>
      <c r="I979" s="93"/>
    </row>
    <row r="980" spans="8:9">
      <c r="H980" s="93"/>
      <c r="I980" s="93"/>
    </row>
    <row r="981" spans="8:9">
      <c r="H981" s="93"/>
      <c r="I981" s="93"/>
    </row>
  </sheetData>
  <sheetProtection selectLockedCells="1"/>
  <conditionalFormatting sqref="H12:I1048576 E12:F1048576">
    <cfRule type="cellIs" dxfId="1" priority="5" operator="notEqual">
      <formula>""</formula>
    </cfRule>
  </conditionalFormatting>
  <dataValidations disablePrompts="1" count="2">
    <dataValidation type="list" allowBlank="1" showInputMessage="1" showErrorMessage="1" sqref="B2">
      <formula1>HiddenStatuses</formula1>
    </dataValidation>
    <dataValidation type="list" allowBlank="1" showInputMessage="1" showErrorMessage="1" sqref="B26:B27 B3:B5 B8:B23">
      <formula1>TrueFalse</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tBlankPage2"/>
  <dimension ref="A1:FF34"/>
  <sheetViews>
    <sheetView showGridLines="0" showRowColHeaders="0" topLeftCell="D2" zoomScale="106" zoomScaleNormal="106" workbookViewId="0">
      <selection activeCell="H15" sqref="H15"/>
    </sheetView>
  </sheetViews>
  <sheetFormatPr defaultColWidth="0" defaultRowHeight="15"/>
  <cols>
    <col min="1" max="1" width="24" style="1" hidden="1" customWidth="1"/>
    <col min="2" max="2" width="15.7109375" style="14" hidden="1" customWidth="1"/>
    <col min="3" max="3" width="9.140625" style="3" hidden="1" customWidth="1"/>
    <col min="4" max="4" width="4" style="1" customWidth="1"/>
    <col min="5" max="5" width="13.28515625" style="93" customWidth="1"/>
    <col min="6" max="6" width="12.7109375" style="93" bestFit="1" customWidth="1"/>
    <col min="7" max="7" width="1.85546875" style="1" customWidth="1"/>
    <col min="8" max="8" width="12" style="1" customWidth="1"/>
    <col min="9" max="9" width="14.42578125" style="1" customWidth="1"/>
    <col min="10" max="10" width="9.5703125" style="1" bestFit="1" customWidth="1"/>
    <col min="11" max="11" width="10.7109375" style="1" bestFit="1" customWidth="1"/>
    <col min="12" max="160" width="9.140625" style="1" customWidth="1"/>
    <col min="161" max="161" width="2.7109375" style="1" customWidth="1"/>
    <col min="162" max="16384" width="9.140625" style="1" hidden="1"/>
  </cols>
  <sheetData>
    <row r="1" spans="1:162" s="89" customFormat="1" hidden="1">
      <c r="A1" s="10" t="s">
        <v>10</v>
      </c>
      <c r="B1" s="11"/>
      <c r="C1" s="89" t="s">
        <v>7</v>
      </c>
      <c r="E1" s="91"/>
      <c r="F1" s="91"/>
      <c r="FF1" s="89" t="s">
        <v>80</v>
      </c>
    </row>
    <row r="2" spans="1:162">
      <c r="A2" s="8" t="s">
        <v>0</v>
      </c>
      <c r="B2" s="12" t="s">
        <v>11</v>
      </c>
      <c r="D2" s="86"/>
      <c r="E2" s="92"/>
      <c r="F2" s="92"/>
      <c r="G2" s="86"/>
      <c r="H2" s="86"/>
      <c r="I2" s="86"/>
      <c r="J2" s="86"/>
      <c r="K2" s="86"/>
      <c r="L2" s="86"/>
      <c r="M2" s="86"/>
      <c r="N2" s="86"/>
      <c r="O2" s="86"/>
      <c r="P2" s="86"/>
      <c r="Q2" s="86"/>
      <c r="R2" s="86"/>
      <c r="S2" s="86"/>
      <c r="T2" s="86"/>
      <c r="U2" s="86"/>
      <c r="V2" s="86"/>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row>
    <row r="3" spans="1:162">
      <c r="A3" s="9" t="s">
        <v>8</v>
      </c>
      <c r="B3" s="13" t="b">
        <v>0</v>
      </c>
      <c r="D3" s="86"/>
      <c r="E3" s="92"/>
      <c r="F3" s="92"/>
      <c r="G3" s="86"/>
      <c r="H3" s="86"/>
      <c r="I3" s="86"/>
      <c r="J3" s="86"/>
      <c r="K3" s="86"/>
      <c r="L3" s="86"/>
      <c r="M3" s="86"/>
      <c r="N3" s="86"/>
      <c r="O3" s="86"/>
      <c r="P3" s="86"/>
      <c r="Q3" s="86"/>
      <c r="R3" s="86"/>
      <c r="S3" s="86"/>
      <c r="T3" s="86"/>
      <c r="U3" s="86"/>
      <c r="V3" s="86"/>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row>
    <row r="4" spans="1:162">
      <c r="A4" s="8" t="s">
        <v>2</v>
      </c>
      <c r="B4" s="12" t="b">
        <v>0</v>
      </c>
      <c r="D4" s="86"/>
      <c r="E4" s="92"/>
      <c r="F4" s="92"/>
      <c r="G4" s="86"/>
      <c r="H4" s="86"/>
      <c r="I4" s="86"/>
      <c r="J4" s="86"/>
      <c r="K4" s="86"/>
      <c r="L4" s="86"/>
      <c r="M4" s="86"/>
      <c r="N4" s="86"/>
      <c r="O4" s="86"/>
      <c r="P4" s="86"/>
      <c r="Q4" s="86"/>
      <c r="R4" s="86"/>
      <c r="S4" s="86"/>
      <c r="T4" s="86"/>
      <c r="U4" s="86"/>
      <c r="V4" s="86"/>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row>
    <row r="5" spans="1:162">
      <c r="A5" s="8" t="s">
        <v>6</v>
      </c>
      <c r="B5" s="12" t="b">
        <v>0</v>
      </c>
      <c r="G5" s="93"/>
      <c r="H5" s="93"/>
      <c r="I5" s="93"/>
    </row>
    <row r="6" spans="1:162">
      <c r="G6" s="93"/>
      <c r="H6" s="93"/>
      <c r="I6" s="93"/>
      <c r="J6" s="90"/>
    </row>
    <row r="7" spans="1:162" s="70" customFormat="1">
      <c r="A7" s="10" t="s">
        <v>29</v>
      </c>
      <c r="B7" s="11"/>
      <c r="C7" s="6"/>
      <c r="D7" s="1"/>
      <c r="E7" s="93"/>
      <c r="F7" s="93"/>
      <c r="G7" s="93"/>
      <c r="H7" s="93"/>
      <c r="I7" s="93"/>
      <c r="J7" s="90"/>
      <c r="K7" s="1"/>
    </row>
    <row r="8" spans="1:162">
      <c r="A8" s="20" t="s">
        <v>14</v>
      </c>
      <c r="B8" s="12" t="b">
        <v>1</v>
      </c>
      <c r="G8" s="93"/>
      <c r="H8" s="93"/>
      <c r="I8" s="93"/>
      <c r="J8" s="90"/>
    </row>
    <row r="9" spans="1:162">
      <c r="A9" s="20" t="s">
        <v>15</v>
      </c>
      <c r="B9" s="12" t="b">
        <v>1</v>
      </c>
      <c r="G9" s="93"/>
      <c r="H9" s="93"/>
      <c r="I9" s="93"/>
    </row>
    <row r="10" spans="1:162">
      <c r="A10" s="20" t="s">
        <v>16</v>
      </c>
      <c r="B10" s="12" t="b">
        <v>1</v>
      </c>
      <c r="G10" s="93"/>
      <c r="H10" s="93"/>
      <c r="I10" s="93"/>
    </row>
    <row r="11" spans="1:162">
      <c r="A11" s="20" t="s">
        <v>17</v>
      </c>
      <c r="B11" s="12" t="b">
        <v>0</v>
      </c>
      <c r="G11" s="93"/>
      <c r="H11" s="93"/>
      <c r="I11" s="93"/>
    </row>
    <row r="12" spans="1:162">
      <c r="A12" s="20" t="s">
        <v>18</v>
      </c>
      <c r="B12" s="12" t="b">
        <v>0</v>
      </c>
      <c r="G12" s="93"/>
      <c r="H12" s="93"/>
      <c r="I12" s="93"/>
    </row>
    <row r="13" spans="1:162" ht="15" customHeight="1">
      <c r="A13" s="20" t="s">
        <v>19</v>
      </c>
      <c r="B13" s="12" t="b">
        <v>0</v>
      </c>
      <c r="G13" s="93"/>
      <c r="H13" s="93"/>
      <c r="I13" s="93"/>
    </row>
    <row r="14" spans="1:162">
      <c r="A14" s="20" t="s">
        <v>20</v>
      </c>
      <c r="B14" s="12" t="b">
        <v>0</v>
      </c>
      <c r="G14" s="93"/>
      <c r="H14" s="93"/>
      <c r="I14" s="93"/>
    </row>
    <row r="15" spans="1:162">
      <c r="A15" s="20" t="s">
        <v>21</v>
      </c>
      <c r="B15" s="12" t="b">
        <v>0</v>
      </c>
      <c r="G15" s="93"/>
      <c r="H15" s="93"/>
      <c r="I15" s="93"/>
    </row>
    <row r="16" spans="1:162">
      <c r="A16" s="20" t="s">
        <v>22</v>
      </c>
      <c r="B16" s="12" t="b">
        <v>0</v>
      </c>
      <c r="G16" s="93"/>
      <c r="H16" s="93"/>
      <c r="I16" s="93"/>
    </row>
    <row r="17" spans="1:9">
      <c r="A17" s="20" t="s">
        <v>23</v>
      </c>
      <c r="B17" s="12" t="b">
        <v>0</v>
      </c>
      <c r="G17" s="93"/>
      <c r="H17" s="93"/>
      <c r="I17" s="93"/>
    </row>
    <row r="18" spans="1:9">
      <c r="A18" s="20" t="s">
        <v>24</v>
      </c>
      <c r="B18" s="12" t="b">
        <v>0</v>
      </c>
      <c r="G18" s="93"/>
      <c r="H18" s="93"/>
      <c r="I18" s="93"/>
    </row>
    <row r="19" spans="1:9">
      <c r="A19" s="20" t="s">
        <v>25</v>
      </c>
      <c r="B19" s="12" t="b">
        <v>0</v>
      </c>
      <c r="G19" s="93"/>
      <c r="H19" s="93"/>
      <c r="I19" s="93"/>
    </row>
    <row r="20" spans="1:9">
      <c r="A20" s="20" t="s">
        <v>26</v>
      </c>
      <c r="B20" s="12" t="b">
        <v>0</v>
      </c>
      <c r="G20" s="93"/>
      <c r="H20" s="93"/>
      <c r="I20" s="93"/>
    </row>
    <row r="21" spans="1:9">
      <c r="A21" s="20" t="s">
        <v>27</v>
      </c>
      <c r="B21" s="12" t="b">
        <v>0</v>
      </c>
      <c r="G21" s="93"/>
      <c r="H21" s="93"/>
      <c r="I21" s="93"/>
    </row>
    <row r="22" spans="1:9">
      <c r="A22" s="20" t="s">
        <v>28</v>
      </c>
      <c r="B22" s="12" t="b">
        <v>0</v>
      </c>
      <c r="G22" s="93"/>
      <c r="H22" s="93"/>
      <c r="I22" s="93"/>
    </row>
    <row r="23" spans="1:9">
      <c r="A23" s="33" t="s">
        <v>67</v>
      </c>
      <c r="B23" s="12" t="b">
        <v>0</v>
      </c>
      <c r="G23" s="93"/>
      <c r="H23" s="93"/>
      <c r="I23" s="93"/>
    </row>
    <row r="24" spans="1:9">
      <c r="G24" s="93"/>
      <c r="H24" s="93"/>
      <c r="I24" s="93"/>
    </row>
    <row r="25" spans="1:9">
      <c r="A25" s="10" t="s">
        <v>58</v>
      </c>
      <c r="B25" s="11"/>
      <c r="G25" s="93"/>
      <c r="H25" s="93"/>
      <c r="I25" s="93"/>
    </row>
    <row r="26" spans="1:9">
      <c r="A26" s="33" t="s">
        <v>59</v>
      </c>
      <c r="B26" s="35" t="b">
        <v>0</v>
      </c>
      <c r="G26" s="93"/>
      <c r="H26" s="93"/>
      <c r="I26" s="93"/>
    </row>
    <row r="27" spans="1:9">
      <c r="A27" s="33" t="s">
        <v>74</v>
      </c>
      <c r="B27" s="35" t="b">
        <v>0</v>
      </c>
      <c r="G27" s="93"/>
      <c r="H27" s="93"/>
      <c r="I27" s="93"/>
    </row>
    <row r="28" spans="1:9">
      <c r="G28" s="93"/>
      <c r="H28" s="93"/>
      <c r="I28" s="93"/>
    </row>
    <row r="29" spans="1:9">
      <c r="G29" s="93"/>
      <c r="H29" s="93"/>
      <c r="I29" s="93"/>
    </row>
    <row r="30" spans="1:9">
      <c r="G30" s="93"/>
      <c r="H30" s="93"/>
      <c r="I30" s="93"/>
    </row>
    <row r="31" spans="1:9">
      <c r="A31" s="10" t="s">
        <v>79</v>
      </c>
      <c r="B31" s="11"/>
      <c r="G31" s="93"/>
      <c r="H31" s="93"/>
      <c r="I31" s="93"/>
    </row>
    <row r="32" spans="1:9">
      <c r="A32" s="33" t="s">
        <v>77</v>
      </c>
      <c r="B32" s="35">
        <f>ROW(TableStart)</f>
        <v>7</v>
      </c>
      <c r="G32" s="93"/>
      <c r="H32" s="93"/>
      <c r="I32" s="93"/>
    </row>
    <row r="33" spans="1:9">
      <c r="A33" s="33" t="s">
        <v>78</v>
      </c>
      <c r="B33" s="35">
        <f>COLUMN(TableStart)</f>
        <v>5</v>
      </c>
      <c r="G33" s="93"/>
      <c r="H33" s="93"/>
      <c r="I33" s="93"/>
    </row>
    <row r="34" spans="1:9">
      <c r="G34" s="93"/>
      <c r="H34" s="93"/>
      <c r="I34" s="93"/>
    </row>
  </sheetData>
  <sheetProtection selectLockedCells="1"/>
  <conditionalFormatting sqref="H12:I1048576 E12:F1048576">
    <cfRule type="cellIs" dxfId="0" priority="1" operator="notEqual">
      <formula>""</formula>
    </cfRule>
  </conditionalFormatting>
  <dataValidations count="2">
    <dataValidation type="list" allowBlank="1" showInputMessage="1" showErrorMessage="1" sqref="B26:B27 B8:B23 B3:B5">
      <formula1>TrueFalse</formula1>
    </dataValidation>
    <dataValidation type="list" allowBlank="1" showInputMessage="1" showErrorMessage="1" sqref="B2">
      <formula1>HiddenStatuses</formula1>
    </dataValidation>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sheetPr codeName="ShtBlankPage"/>
  <dimension ref="A1:Q33"/>
  <sheetViews>
    <sheetView workbookViewId="0">
      <selection activeCell="B2" sqref="B2"/>
    </sheetView>
  </sheetViews>
  <sheetFormatPr defaultColWidth="9.140625" defaultRowHeight="15"/>
  <cols>
    <col min="1" max="1" width="24" style="1" customWidth="1"/>
    <col min="2" max="2" width="15.7109375" style="14" customWidth="1"/>
    <col min="3" max="3" width="9.140625" style="3" customWidth="1"/>
    <col min="4" max="9" width="10.28515625" style="1" customWidth="1"/>
    <col min="10" max="10" width="9.5703125" style="1" bestFit="1" customWidth="1"/>
    <col min="11" max="11" width="10.7109375" style="1" bestFit="1" customWidth="1"/>
    <col min="12" max="15" width="9.140625" style="1" customWidth="1"/>
    <col min="16" max="16" width="3.140625" style="1" customWidth="1"/>
    <col min="17" max="16384" width="9.140625" style="1"/>
  </cols>
  <sheetData>
    <row r="1" spans="1:17" s="89" customFormat="1">
      <c r="A1" s="10" t="s">
        <v>10</v>
      </c>
      <c r="B1" s="11"/>
      <c r="C1" s="89" t="s">
        <v>7</v>
      </c>
      <c r="Q1" s="89" t="s">
        <v>80</v>
      </c>
    </row>
    <row r="2" spans="1:17">
      <c r="A2" s="8" t="s">
        <v>0</v>
      </c>
      <c r="B2" s="12" t="s">
        <v>13</v>
      </c>
      <c r="D2" s="86"/>
      <c r="E2" s="86"/>
      <c r="F2" s="86"/>
      <c r="G2" s="86"/>
      <c r="H2" s="86"/>
      <c r="I2" s="86"/>
      <c r="J2" s="86"/>
      <c r="K2" s="86"/>
      <c r="L2" s="86"/>
      <c r="M2" s="86"/>
      <c r="N2" s="86"/>
      <c r="O2" s="87"/>
      <c r="P2" s="86"/>
    </row>
    <row r="3" spans="1:17">
      <c r="A3" s="9" t="s">
        <v>8</v>
      </c>
      <c r="B3" s="13" t="b">
        <v>0</v>
      </c>
      <c r="D3" s="86"/>
      <c r="E3" s="86"/>
      <c r="F3" s="86"/>
      <c r="G3" s="86"/>
      <c r="H3" s="86"/>
      <c r="I3" s="86"/>
      <c r="J3" s="86"/>
      <c r="K3" s="86"/>
      <c r="L3" s="86"/>
      <c r="M3" s="86"/>
      <c r="N3" s="86"/>
      <c r="O3" s="87"/>
      <c r="P3" s="86"/>
    </row>
    <row r="4" spans="1:17">
      <c r="A4" s="8" t="s">
        <v>2</v>
      </c>
      <c r="B4" s="12" t="b">
        <v>0</v>
      </c>
      <c r="D4" s="86"/>
      <c r="E4" s="86"/>
      <c r="F4" s="86"/>
      <c r="G4" s="86"/>
      <c r="H4" s="86"/>
      <c r="I4" s="86"/>
      <c r="J4" s="86"/>
      <c r="K4" s="86"/>
      <c r="L4" s="86"/>
      <c r="M4" s="86"/>
      <c r="N4" s="86"/>
      <c r="O4" s="87"/>
      <c r="P4" s="86"/>
    </row>
    <row r="5" spans="1:17">
      <c r="A5" s="8" t="s">
        <v>6</v>
      </c>
      <c r="B5" s="12" t="b">
        <v>0</v>
      </c>
    </row>
    <row r="6" spans="1:17">
      <c r="E6" s="88"/>
    </row>
    <row r="7" spans="1:17" s="2" customFormat="1">
      <c r="A7" s="10" t="s">
        <v>29</v>
      </c>
      <c r="B7" s="11"/>
      <c r="C7" s="6"/>
      <c r="D7" s="1"/>
      <c r="E7" s="1"/>
      <c r="F7" s="1"/>
      <c r="G7" s="1"/>
      <c r="H7" s="1"/>
      <c r="I7" s="1"/>
      <c r="J7" s="1"/>
      <c r="K7" s="1"/>
    </row>
    <row r="8" spans="1:17">
      <c r="A8" s="20" t="s">
        <v>14</v>
      </c>
      <c r="B8" s="12" t="b">
        <v>1</v>
      </c>
    </row>
    <row r="9" spans="1:17">
      <c r="A9" s="20" t="s">
        <v>15</v>
      </c>
      <c r="B9" s="12" t="b">
        <v>1</v>
      </c>
    </row>
    <row r="10" spans="1:17">
      <c r="A10" s="20" t="s">
        <v>16</v>
      </c>
      <c r="B10" s="12" t="b">
        <v>1</v>
      </c>
    </row>
    <row r="11" spans="1:17">
      <c r="A11" s="20" t="s">
        <v>17</v>
      </c>
      <c r="B11" s="12" t="b">
        <v>0</v>
      </c>
    </row>
    <row r="12" spans="1:17">
      <c r="A12" s="20" t="s">
        <v>18</v>
      </c>
      <c r="B12" s="12" t="b">
        <v>0</v>
      </c>
    </row>
    <row r="13" spans="1:17" ht="15" customHeight="1">
      <c r="A13" s="20" t="s">
        <v>19</v>
      </c>
      <c r="B13" s="12" t="b">
        <v>0</v>
      </c>
    </row>
    <row r="14" spans="1:17">
      <c r="A14" s="20" t="s">
        <v>20</v>
      </c>
      <c r="B14" s="12" t="b">
        <v>0</v>
      </c>
    </row>
    <row r="15" spans="1:17">
      <c r="A15" s="20" t="s">
        <v>21</v>
      </c>
      <c r="B15" s="12" t="b">
        <v>0</v>
      </c>
    </row>
    <row r="16" spans="1:17">
      <c r="A16" s="20" t="s">
        <v>22</v>
      </c>
      <c r="B16" s="12" t="b">
        <v>0</v>
      </c>
    </row>
    <row r="17" spans="1:3">
      <c r="A17" s="20" t="s">
        <v>23</v>
      </c>
      <c r="B17" s="12" t="b">
        <v>0</v>
      </c>
    </row>
    <row r="18" spans="1:3">
      <c r="A18" s="20" t="s">
        <v>24</v>
      </c>
      <c r="B18" s="12" t="b">
        <v>0</v>
      </c>
    </row>
    <row r="19" spans="1:3">
      <c r="A19" s="20" t="s">
        <v>25</v>
      </c>
      <c r="B19" s="12" t="b">
        <v>0</v>
      </c>
    </row>
    <row r="20" spans="1:3">
      <c r="A20" s="20" t="s">
        <v>26</v>
      </c>
      <c r="B20" s="12" t="b">
        <v>0</v>
      </c>
    </row>
    <row r="21" spans="1:3">
      <c r="A21" s="20" t="s">
        <v>27</v>
      </c>
      <c r="B21" s="12" t="b">
        <v>0</v>
      </c>
    </row>
    <row r="22" spans="1:3">
      <c r="A22" s="20" t="s">
        <v>28</v>
      </c>
      <c r="B22" s="12" t="b">
        <v>0</v>
      </c>
    </row>
    <row r="23" spans="1:3">
      <c r="A23" s="33" t="s">
        <v>67</v>
      </c>
      <c r="B23" s="12" t="b">
        <v>0</v>
      </c>
    </row>
    <row r="25" spans="1:3">
      <c r="A25" s="10" t="s">
        <v>58</v>
      </c>
      <c r="B25" s="11"/>
    </row>
    <row r="26" spans="1:3">
      <c r="A26" s="33" t="s">
        <v>59</v>
      </c>
      <c r="B26" s="35" t="b">
        <v>0</v>
      </c>
    </row>
    <row r="27" spans="1:3">
      <c r="A27" s="33" t="s">
        <v>74</v>
      </c>
      <c r="B27" s="35" t="b">
        <v>0</v>
      </c>
    </row>
    <row r="31" spans="1:3">
      <c r="A31" s="10" t="s">
        <v>79</v>
      </c>
      <c r="B31" s="11"/>
    </row>
    <row r="32" spans="1:3">
      <c r="A32" s="33" t="s">
        <v>77</v>
      </c>
      <c r="B32" s="35">
        <f>ROW(TableStart)</f>
        <v>6</v>
      </c>
      <c r="C32" s="3" t="s">
        <v>80</v>
      </c>
    </row>
    <row r="33" spans="1:2">
      <c r="A33" s="33" t="s">
        <v>78</v>
      </c>
      <c r="B33" s="35">
        <f>COLUMN(TableStart)</f>
        <v>5</v>
      </c>
    </row>
  </sheetData>
  <sheetProtection selectLockedCells="1"/>
  <dataValidations count="2">
    <dataValidation type="list" allowBlank="1" showInputMessage="1" showErrorMessage="1" sqref="B26:B27 B3:B5 B8:B23">
      <formula1>TrueFalse</formula1>
    </dataValidation>
    <dataValidation type="list" allowBlank="1" showInputMessage="1" showErrorMessage="1" sqref="B2">
      <formula1>HiddenStatuses</formula1>
    </dataValidation>
  </dataValidations>
  <pageMargins left="0.7" right="0.7" top="0.75" bottom="0.75" header="0.3" footer="0.3"/>
  <pageSetup paperSize="0" orientation="portrait" horizontalDpi="0" verticalDpi="0" copies="0"/>
  <drawing r:id="rId1"/>
</worksheet>
</file>

<file path=xl/worksheets/sheet5.xml><?xml version="1.0" encoding="utf-8"?>
<worksheet xmlns="http://schemas.openxmlformats.org/spreadsheetml/2006/main" xmlns:r="http://schemas.openxmlformats.org/officeDocument/2006/relationships">
  <sheetPr codeName="ShtWelcomePage"/>
  <dimension ref="A1:Q54"/>
  <sheetViews>
    <sheetView workbookViewId="0">
      <selection activeCell="F9" sqref="F9"/>
    </sheetView>
  </sheetViews>
  <sheetFormatPr defaultColWidth="9.140625" defaultRowHeight="15"/>
  <cols>
    <col min="1" max="1" width="24" style="1" customWidth="1"/>
    <col min="2" max="2" width="15.7109375" style="14" customWidth="1"/>
    <col min="3" max="3" width="9.140625" style="3" customWidth="1"/>
    <col min="4" max="4" width="10.28515625" style="1" customWidth="1"/>
    <col min="5" max="5" width="34.140625" style="1" customWidth="1"/>
    <col min="6" max="9" width="10.28515625" style="1" customWidth="1"/>
    <col min="10" max="10" width="9.5703125" style="1" bestFit="1" customWidth="1"/>
    <col min="11" max="11" width="10.7109375" style="1" bestFit="1" customWidth="1"/>
    <col min="12" max="15" width="9.140625" style="1" customWidth="1"/>
    <col min="16" max="16" width="3.140625" style="1" customWidth="1"/>
    <col min="17" max="16384" width="9.140625" style="1"/>
  </cols>
  <sheetData>
    <row r="1" spans="1:17" s="89" customFormat="1">
      <c r="A1" s="10" t="s">
        <v>10</v>
      </c>
      <c r="B1" s="11"/>
      <c r="C1" s="89" t="s">
        <v>7</v>
      </c>
      <c r="Q1" s="89" t="s">
        <v>80</v>
      </c>
    </row>
    <row r="2" spans="1:17">
      <c r="A2" s="8" t="s">
        <v>0</v>
      </c>
      <c r="B2" s="12" t="s">
        <v>13</v>
      </c>
      <c r="D2" s="86"/>
      <c r="E2" s="86"/>
      <c r="F2" s="86"/>
      <c r="G2" s="86"/>
      <c r="H2" s="86"/>
      <c r="I2" s="86"/>
      <c r="J2" s="86"/>
      <c r="K2" s="86"/>
      <c r="L2" s="86"/>
      <c r="M2" s="86"/>
      <c r="N2" s="86"/>
      <c r="O2" s="87"/>
      <c r="P2" s="86"/>
    </row>
    <row r="3" spans="1:17">
      <c r="A3" s="9" t="s">
        <v>8</v>
      </c>
      <c r="B3" s="13" t="b">
        <v>0</v>
      </c>
      <c r="D3" s="86"/>
      <c r="E3" s="86"/>
      <c r="F3" s="86"/>
      <c r="G3" s="86"/>
      <c r="H3" s="86"/>
      <c r="I3" s="86"/>
      <c r="J3" s="86"/>
      <c r="K3" s="86"/>
      <c r="L3" s="86"/>
      <c r="M3" s="86"/>
      <c r="N3" s="86"/>
      <c r="O3" s="87"/>
      <c r="P3" s="86"/>
    </row>
    <row r="4" spans="1:17">
      <c r="A4" s="8" t="s">
        <v>2</v>
      </c>
      <c r="B4" s="12" t="b">
        <v>0</v>
      </c>
      <c r="D4" s="86"/>
      <c r="E4" s="86"/>
      <c r="F4" s="86"/>
      <c r="G4" s="86"/>
      <c r="H4" s="86"/>
      <c r="I4" s="86"/>
      <c r="J4" s="86"/>
      <c r="K4" s="86"/>
      <c r="L4" s="86"/>
      <c r="M4" s="86"/>
      <c r="N4" s="86"/>
      <c r="O4" s="87"/>
      <c r="P4" s="86"/>
    </row>
    <row r="5" spans="1:17">
      <c r="A5" s="8" t="s">
        <v>6</v>
      </c>
      <c r="B5" s="12" t="b">
        <v>0</v>
      </c>
    </row>
    <row r="6" spans="1:17">
      <c r="E6" s="112" t="s">
        <v>122</v>
      </c>
      <c r="F6" s="112"/>
      <c r="G6" s="112"/>
      <c r="H6" s="112"/>
      <c r="I6" s="112"/>
      <c r="J6" s="112"/>
    </row>
    <row r="7" spans="1:17" s="70" customFormat="1">
      <c r="A7" s="10" t="s">
        <v>29</v>
      </c>
      <c r="B7" s="11"/>
      <c r="C7" s="6"/>
      <c r="D7" s="1"/>
      <c r="K7" s="1"/>
    </row>
    <row r="8" spans="1:17">
      <c r="A8" s="20" t="s">
        <v>14</v>
      </c>
      <c r="B8" s="12" t="b">
        <v>1</v>
      </c>
      <c r="E8" s="15" t="s">
        <v>123</v>
      </c>
      <c r="F8" s="105">
        <v>1</v>
      </c>
    </row>
    <row r="9" spans="1:17">
      <c r="A9" s="20" t="s">
        <v>15</v>
      </c>
      <c r="B9" s="12" t="b">
        <v>1</v>
      </c>
      <c r="E9" s="15" t="s">
        <v>124</v>
      </c>
      <c r="F9" s="105" t="b">
        <v>0</v>
      </c>
    </row>
    <row r="10" spans="1:17">
      <c r="A10" s="20" t="s">
        <v>16</v>
      </c>
      <c r="B10" s="12" t="b">
        <v>1</v>
      </c>
    </row>
    <row r="11" spans="1:17">
      <c r="A11" s="20" t="s">
        <v>17</v>
      </c>
      <c r="B11" s="12" t="b">
        <v>0</v>
      </c>
    </row>
    <row r="12" spans="1:17">
      <c r="A12" s="20" t="s">
        <v>18</v>
      </c>
      <c r="B12" s="12" t="b">
        <v>0</v>
      </c>
    </row>
    <row r="13" spans="1:17" ht="15" customHeight="1">
      <c r="A13" s="20" t="s">
        <v>19</v>
      </c>
      <c r="B13" s="12" t="b">
        <v>0</v>
      </c>
      <c r="E13" s="112" t="s">
        <v>125</v>
      </c>
      <c r="F13" s="112"/>
      <c r="G13" s="112"/>
      <c r="H13" s="112"/>
      <c r="I13" s="112"/>
      <c r="J13" s="112"/>
    </row>
    <row r="14" spans="1:17">
      <c r="A14" s="20" t="s">
        <v>20</v>
      </c>
      <c r="B14" s="12" t="b">
        <v>0</v>
      </c>
      <c r="E14" s="70"/>
    </row>
    <row r="15" spans="1:17">
      <c r="A15" s="20" t="s">
        <v>21</v>
      </c>
      <c r="B15" s="12" t="b">
        <v>0</v>
      </c>
      <c r="E15" s="15" t="s">
        <v>126</v>
      </c>
    </row>
    <row r="16" spans="1:17">
      <c r="A16" s="20" t="s">
        <v>22</v>
      </c>
      <c r="B16" s="12" t="b">
        <v>0</v>
      </c>
      <c r="E16" s="106" t="s">
        <v>147</v>
      </c>
    </row>
    <row r="17" spans="1:10">
      <c r="A17" s="20" t="s">
        <v>23</v>
      </c>
      <c r="B17" s="12" t="b">
        <v>0</v>
      </c>
    </row>
    <row r="18" spans="1:10">
      <c r="A18" s="20" t="s">
        <v>24</v>
      </c>
      <c r="B18" s="12" t="b">
        <v>0</v>
      </c>
      <c r="E18" s="15" t="s">
        <v>127</v>
      </c>
    </row>
    <row r="19" spans="1:10">
      <c r="A19" s="20" t="s">
        <v>25</v>
      </c>
      <c r="B19" s="12" t="b">
        <v>0</v>
      </c>
      <c r="E19" t="s">
        <v>148</v>
      </c>
    </row>
    <row r="20" spans="1:10">
      <c r="A20" s="20" t="s">
        <v>26</v>
      </c>
      <c r="B20" s="12" t="b">
        <v>0</v>
      </c>
    </row>
    <row r="21" spans="1:10">
      <c r="A21" s="20" t="s">
        <v>27</v>
      </c>
      <c r="B21" s="12" t="b">
        <v>0</v>
      </c>
    </row>
    <row r="22" spans="1:10">
      <c r="A22" s="20" t="s">
        <v>28</v>
      </c>
      <c r="B22" s="12" t="b">
        <v>0</v>
      </c>
    </row>
    <row r="23" spans="1:10">
      <c r="A23" s="33" t="s">
        <v>67</v>
      </c>
      <c r="B23" s="12" t="b">
        <v>0</v>
      </c>
      <c r="E23" s="112" t="s">
        <v>128</v>
      </c>
      <c r="F23" s="112"/>
      <c r="G23" s="112"/>
      <c r="H23" s="112"/>
      <c r="I23" s="112"/>
      <c r="J23" s="112"/>
    </row>
    <row r="25" spans="1:10">
      <c r="A25" s="10" t="s">
        <v>58</v>
      </c>
      <c r="B25" s="11"/>
      <c r="E25" s="15" t="s">
        <v>129</v>
      </c>
    </row>
    <row r="26" spans="1:10">
      <c r="A26" s="33" t="s">
        <v>59</v>
      </c>
      <c r="B26" s="35" t="b">
        <v>0</v>
      </c>
      <c r="E26" s="105" t="s">
        <v>130</v>
      </c>
    </row>
    <row r="27" spans="1:10">
      <c r="A27" s="33" t="s">
        <v>74</v>
      </c>
      <c r="B27" s="35" t="b">
        <v>0</v>
      </c>
      <c r="E27" s="107" t="str">
        <f>"A quick introductory video on "  &amp; SpreadsheetName &amp;  " main functionalities is linked below."</f>
        <v>A quick introductory video on Zoom chart main functionalities is linked below.</v>
      </c>
    </row>
    <row r="29" spans="1:10">
      <c r="E29" s="15" t="s">
        <v>131</v>
      </c>
    </row>
    <row r="30" spans="1:10">
      <c r="E30" s="106" t="s">
        <v>132</v>
      </c>
    </row>
    <row r="31" spans="1:10">
      <c r="A31" s="10" t="s">
        <v>79</v>
      </c>
      <c r="B31" s="11"/>
    </row>
    <row r="32" spans="1:10">
      <c r="A32" s="33" t="s">
        <v>77</v>
      </c>
      <c r="B32" s="35" t="e">
        <f>ROW(TableStart)</f>
        <v>#REF!</v>
      </c>
      <c r="E32" s="15" t="s">
        <v>133</v>
      </c>
    </row>
    <row r="33" spans="1:5">
      <c r="A33" s="33" t="s">
        <v>78</v>
      </c>
      <c r="B33" s="35" t="e">
        <f>COLUMN(TableStart)</f>
        <v>#REF!</v>
      </c>
      <c r="E33" s="106" t="s">
        <v>134</v>
      </c>
    </row>
    <row r="35" spans="1:5">
      <c r="E35" s="15" t="s">
        <v>135</v>
      </c>
    </row>
    <row r="36" spans="1:5">
      <c r="E36" s="106" t="s">
        <v>136</v>
      </c>
    </row>
    <row r="38" spans="1:5">
      <c r="E38" s="15" t="s">
        <v>137</v>
      </c>
    </row>
    <row r="39" spans="1:5">
      <c r="E39" s="106" t="s">
        <v>138</v>
      </c>
    </row>
    <row r="41" spans="1:5">
      <c r="E41" s="15" t="s">
        <v>139</v>
      </c>
    </row>
    <row r="42" spans="1:5">
      <c r="E42" s="106" t="s">
        <v>140</v>
      </c>
    </row>
    <row r="44" spans="1:5">
      <c r="E44" s="15" t="s">
        <v>141</v>
      </c>
    </row>
    <row r="45" spans="1:5">
      <c r="E45" s="106" t="s">
        <v>142</v>
      </c>
    </row>
    <row r="47" spans="1:5">
      <c r="E47" s="15" t="s">
        <v>143</v>
      </c>
    </row>
    <row r="48" spans="1:5">
      <c r="E48" s="106" t="s">
        <v>144</v>
      </c>
    </row>
    <row r="50" spans="3:5">
      <c r="E50" s="15" t="s">
        <v>145</v>
      </c>
    </row>
    <row r="51" spans="3:5">
      <c r="E51" s="106" t="s">
        <v>146</v>
      </c>
    </row>
    <row r="54" spans="3:5">
      <c r="C54" s="3" t="s">
        <v>80</v>
      </c>
    </row>
  </sheetData>
  <sheetProtection selectLockedCells="1"/>
  <mergeCells count="3">
    <mergeCell ref="E6:J6"/>
    <mergeCell ref="E13:J13"/>
    <mergeCell ref="E23:J23"/>
  </mergeCells>
  <dataValidations count="2">
    <dataValidation type="list" allowBlank="1" showInputMessage="1" showErrorMessage="1" sqref="B2">
      <formula1>HiddenStatuses</formula1>
    </dataValidation>
    <dataValidation type="list" allowBlank="1" showInputMessage="1" showErrorMessage="1" sqref="B26:B27 B8:B23 B3:B5">
      <formula1>TrueFalse</formula1>
    </dataValidation>
  </dataValidations>
  <pageMargins left="0.7" right="0.7" top="0.75" bottom="0.75" header="0.3" footer="0.3"/>
  <pageSetup paperSize="0" orientation="portrait" horizontalDpi="0" verticalDpi="0" copies="0"/>
  <drawing r:id="rId1"/>
</worksheet>
</file>

<file path=xl/worksheets/sheet6.xml><?xml version="1.0" encoding="utf-8"?>
<worksheet xmlns="http://schemas.openxmlformats.org/spreadsheetml/2006/main" xmlns:r="http://schemas.openxmlformats.org/officeDocument/2006/relationships">
  <sheetPr codeName="ShtDevFrame"/>
  <dimension ref="A1:I50"/>
  <sheetViews>
    <sheetView workbookViewId="0">
      <selection activeCell="J20" sqref="J20"/>
    </sheetView>
  </sheetViews>
  <sheetFormatPr defaultColWidth="9.140625" defaultRowHeight="15"/>
  <cols>
    <col min="1" max="1" width="24" style="1" customWidth="1"/>
    <col min="2" max="2" width="15.7109375" style="14" customWidth="1"/>
    <col min="3" max="3" width="9.140625" style="3" customWidth="1"/>
    <col min="4" max="4" width="27.85546875" style="1" customWidth="1"/>
    <col min="5" max="5" width="19.7109375" style="1" customWidth="1"/>
    <col min="6" max="6" width="23.42578125" style="1" customWidth="1"/>
    <col min="7" max="8" width="9.140625" style="1" customWidth="1"/>
    <col min="9" max="16384" width="9.140625" style="1"/>
  </cols>
  <sheetData>
    <row r="1" spans="1:9" s="3" customFormat="1">
      <c r="A1" s="10" t="s">
        <v>10</v>
      </c>
      <c r="B1" s="11"/>
      <c r="C1" s="3" t="s">
        <v>7</v>
      </c>
    </row>
    <row r="2" spans="1:9">
      <c r="A2" s="8" t="s">
        <v>0</v>
      </c>
      <c r="B2" s="12" t="s">
        <v>13</v>
      </c>
      <c r="D2" s="15" t="s">
        <v>3</v>
      </c>
      <c r="E2" s="15" t="s">
        <v>4</v>
      </c>
      <c r="F2" s="74"/>
      <c r="G2" s="4"/>
      <c r="H2" s="69"/>
    </row>
    <row r="3" spans="1:9">
      <c r="A3" s="9" t="s">
        <v>8</v>
      </c>
      <c r="B3" s="13" t="b">
        <v>0</v>
      </c>
      <c r="D3" s="16" t="s">
        <v>11</v>
      </c>
      <c r="E3" s="17" t="b">
        <v>1</v>
      </c>
      <c r="F3" s="74"/>
      <c r="G3" s="5"/>
      <c r="H3" s="7"/>
    </row>
    <row r="4" spans="1:9">
      <c r="A4" s="8" t="s">
        <v>2</v>
      </c>
      <c r="B4" s="12" t="b">
        <v>1</v>
      </c>
      <c r="D4" s="16" t="s">
        <v>12</v>
      </c>
      <c r="E4" s="17" t="b">
        <v>0</v>
      </c>
      <c r="F4" s="74"/>
      <c r="G4" s="5"/>
      <c r="H4" s="7"/>
    </row>
    <row r="5" spans="1:9">
      <c r="A5" s="8" t="s">
        <v>6</v>
      </c>
      <c r="B5" s="12" t="b">
        <v>1</v>
      </c>
      <c r="D5" s="16" t="s">
        <v>13</v>
      </c>
      <c r="E5" s="75"/>
      <c r="F5" s="18"/>
      <c r="G5" s="5"/>
      <c r="H5" s="7"/>
    </row>
    <row r="6" spans="1:9">
      <c r="D6" s="76"/>
      <c r="E6" s="77"/>
      <c r="F6" s="78"/>
      <c r="G6" s="5"/>
      <c r="H6" s="94"/>
    </row>
    <row r="7" spans="1:9" s="2" customFormat="1">
      <c r="A7" s="10" t="s">
        <v>29</v>
      </c>
      <c r="B7" s="11"/>
      <c r="C7" s="6"/>
      <c r="D7" s="15" t="s">
        <v>5</v>
      </c>
      <c r="E7" s="15" t="s">
        <v>1</v>
      </c>
      <c r="F7" s="15" t="s">
        <v>9</v>
      </c>
      <c r="G7" s="74"/>
      <c r="H7" s="95"/>
      <c r="I7" s="70"/>
    </row>
    <row r="8" spans="1:9">
      <c r="A8" s="20" t="s">
        <v>14</v>
      </c>
      <c r="B8" s="12" t="b">
        <v>1</v>
      </c>
      <c r="D8" s="19" t="b">
        <v>0</v>
      </c>
      <c r="E8" s="17" t="s">
        <v>1</v>
      </c>
      <c r="F8" s="17" t="s">
        <v>114</v>
      </c>
      <c r="G8" s="74"/>
      <c r="H8" s="96"/>
    </row>
    <row r="9" spans="1:9">
      <c r="A9" s="20" t="s">
        <v>15</v>
      </c>
      <c r="B9" s="12" t="b">
        <v>1</v>
      </c>
      <c r="D9" s="72"/>
      <c r="E9" s="73"/>
      <c r="F9" s="73"/>
      <c r="G9" s="5"/>
      <c r="H9" s="97"/>
    </row>
    <row r="10" spans="1:9">
      <c r="A10" s="20" t="s">
        <v>16</v>
      </c>
      <c r="B10" s="12" t="b">
        <v>1</v>
      </c>
      <c r="D10" s="15" t="s">
        <v>51</v>
      </c>
      <c r="E10" s="79"/>
      <c r="G10" s="5"/>
      <c r="H10" s="98"/>
    </row>
    <row r="11" spans="1:9">
      <c r="A11" s="20" t="s">
        <v>17</v>
      </c>
      <c r="B11" s="12" t="b">
        <v>0</v>
      </c>
      <c r="D11" s="19" t="b">
        <v>1</v>
      </c>
      <c r="E11" s="79"/>
      <c r="G11" s="71"/>
      <c r="H11" s="99"/>
    </row>
    <row r="12" spans="1:9">
      <c r="A12" s="20" t="s">
        <v>18</v>
      </c>
      <c r="B12" s="12" t="b">
        <v>0</v>
      </c>
    </row>
    <row r="13" spans="1:9" ht="15" customHeight="1">
      <c r="A13" s="20" t="s">
        <v>19</v>
      </c>
      <c r="B13" s="12" t="b">
        <v>0</v>
      </c>
    </row>
    <row r="14" spans="1:9">
      <c r="A14" s="20" t="s">
        <v>20</v>
      </c>
      <c r="B14" s="12" t="b">
        <v>0</v>
      </c>
    </row>
    <row r="15" spans="1:9">
      <c r="A15" s="20" t="s">
        <v>21</v>
      </c>
      <c r="B15" s="12" t="b">
        <v>0</v>
      </c>
      <c r="D15" s="21"/>
      <c r="E15" s="22" t="s">
        <v>30</v>
      </c>
      <c r="F15" s="23"/>
    </row>
    <row r="16" spans="1:9">
      <c r="A16" s="20" t="s">
        <v>22</v>
      </c>
      <c r="B16" s="12" t="b">
        <v>0</v>
      </c>
      <c r="D16" s="24" t="s">
        <v>31</v>
      </c>
      <c r="E16" s="25"/>
      <c r="F16" s="26"/>
    </row>
    <row r="17" spans="1:6">
      <c r="A17" s="20" t="s">
        <v>23</v>
      </c>
      <c r="B17" s="12" t="b">
        <v>0</v>
      </c>
      <c r="D17" s="27" t="s">
        <v>32</v>
      </c>
      <c r="E17" s="25"/>
      <c r="F17" s="26"/>
    </row>
    <row r="18" spans="1:6">
      <c r="A18" s="20" t="s">
        <v>24</v>
      </c>
      <c r="B18" s="12" t="b">
        <v>0</v>
      </c>
      <c r="D18" s="27" t="s">
        <v>33</v>
      </c>
      <c r="E18" s="25"/>
      <c r="F18" s="26"/>
    </row>
    <row r="19" spans="1:6">
      <c r="A19" s="20" t="s">
        <v>25</v>
      </c>
      <c r="B19" s="12" t="b">
        <v>0</v>
      </c>
      <c r="D19" s="27" t="s">
        <v>34</v>
      </c>
      <c r="E19" s="25"/>
      <c r="F19" s="26"/>
    </row>
    <row r="20" spans="1:6">
      <c r="A20" s="20" t="s">
        <v>26</v>
      </c>
      <c r="B20" s="12" t="b">
        <v>0</v>
      </c>
      <c r="D20" s="27" t="s">
        <v>35</v>
      </c>
      <c r="E20" s="25"/>
      <c r="F20" s="26"/>
    </row>
    <row r="21" spans="1:6">
      <c r="A21" s="20" t="s">
        <v>27</v>
      </c>
      <c r="B21" s="12" t="b">
        <v>0</v>
      </c>
      <c r="D21" s="27" t="s">
        <v>36</v>
      </c>
      <c r="E21" s="25"/>
      <c r="F21" s="26"/>
    </row>
    <row r="22" spans="1:6">
      <c r="A22" s="20" t="s">
        <v>28</v>
      </c>
      <c r="B22" s="12" t="b">
        <v>0</v>
      </c>
      <c r="D22" s="27" t="s">
        <v>37</v>
      </c>
      <c r="E22" s="25"/>
      <c r="F22" s="26"/>
    </row>
    <row r="23" spans="1:6">
      <c r="A23" s="33" t="s">
        <v>67</v>
      </c>
      <c r="B23" s="12" t="b">
        <v>0</v>
      </c>
      <c r="D23" s="27" t="s">
        <v>38</v>
      </c>
      <c r="E23" s="25"/>
      <c r="F23" s="26"/>
    </row>
    <row r="24" spans="1:6">
      <c r="D24" s="27" t="s">
        <v>39</v>
      </c>
      <c r="E24" s="25"/>
      <c r="F24" s="26"/>
    </row>
    <row r="25" spans="1:6">
      <c r="A25" s="10" t="s">
        <v>58</v>
      </c>
      <c r="B25" s="34"/>
      <c r="D25" s="27" t="s">
        <v>40</v>
      </c>
      <c r="E25" s="25"/>
      <c r="F25" s="26"/>
    </row>
    <row r="26" spans="1:6">
      <c r="A26" s="33" t="s">
        <v>59</v>
      </c>
      <c r="B26" s="35" t="b">
        <v>1</v>
      </c>
      <c r="D26" s="27"/>
      <c r="E26" s="25"/>
      <c r="F26" s="26"/>
    </row>
    <row r="27" spans="1:6">
      <c r="A27" s="33" t="s">
        <v>74</v>
      </c>
      <c r="B27" s="35" t="b">
        <v>0</v>
      </c>
      <c r="D27" s="28" t="s">
        <v>41</v>
      </c>
      <c r="E27" s="25"/>
      <c r="F27" s="26"/>
    </row>
    <row r="28" spans="1:6">
      <c r="D28" s="27" t="s">
        <v>42</v>
      </c>
      <c r="E28" s="25"/>
      <c r="F28" s="26"/>
    </row>
    <row r="29" spans="1:6">
      <c r="D29" s="27" t="s">
        <v>43</v>
      </c>
      <c r="E29" s="25"/>
      <c r="F29" s="26"/>
    </row>
    <row r="30" spans="1:6">
      <c r="D30" s="27" t="s">
        <v>44</v>
      </c>
      <c r="E30" s="25"/>
      <c r="F30" s="26"/>
    </row>
    <row r="31" spans="1:6">
      <c r="D31" s="27"/>
      <c r="E31" s="25"/>
      <c r="F31" s="26"/>
    </row>
    <row r="32" spans="1:6">
      <c r="D32" s="24" t="s">
        <v>83</v>
      </c>
      <c r="E32" s="25"/>
      <c r="F32" s="26"/>
    </row>
    <row r="33" spans="4:6">
      <c r="D33" s="82" t="s">
        <v>62</v>
      </c>
      <c r="E33" s="80" t="s">
        <v>60</v>
      </c>
      <c r="F33" s="81" t="s">
        <v>61</v>
      </c>
    </row>
    <row r="34" spans="4:6">
      <c r="D34" s="84" t="s">
        <v>64</v>
      </c>
      <c r="E34" s="83">
        <v>42743</v>
      </c>
      <c r="F34" s="85" t="s">
        <v>63</v>
      </c>
    </row>
    <row r="35" spans="4:6" ht="45">
      <c r="D35" s="29" t="s">
        <v>65</v>
      </c>
      <c r="E35" s="83">
        <v>42753</v>
      </c>
      <c r="F35" s="85" t="s">
        <v>66</v>
      </c>
    </row>
    <row r="36" spans="4:6" ht="30">
      <c r="D36" s="29" t="s">
        <v>68</v>
      </c>
      <c r="E36" s="83">
        <v>42776</v>
      </c>
      <c r="F36" s="85" t="s">
        <v>69</v>
      </c>
    </row>
    <row r="37" spans="4:6" ht="60">
      <c r="D37" s="29" t="s">
        <v>81</v>
      </c>
      <c r="E37" s="83">
        <v>42804</v>
      </c>
      <c r="F37" s="85" t="s">
        <v>70</v>
      </c>
    </row>
    <row r="38" spans="4:6" ht="45">
      <c r="D38" s="29" t="s">
        <v>84</v>
      </c>
      <c r="E38" s="83">
        <v>42876</v>
      </c>
      <c r="F38" s="85" t="s">
        <v>82</v>
      </c>
    </row>
    <row r="39" spans="4:6">
      <c r="D39" s="29"/>
      <c r="E39" s="83"/>
      <c r="F39" s="85"/>
    </row>
    <row r="40" spans="4:6">
      <c r="D40" s="29"/>
      <c r="E40" s="25"/>
      <c r="F40" s="85"/>
    </row>
    <row r="41" spans="4:6">
      <c r="D41" s="29"/>
      <c r="E41" s="25"/>
      <c r="F41" s="85"/>
    </row>
    <row r="42" spans="4:6">
      <c r="D42" s="29"/>
      <c r="E42" s="25"/>
      <c r="F42" s="85"/>
    </row>
    <row r="43" spans="4:6">
      <c r="D43" s="29"/>
      <c r="E43" s="25"/>
      <c r="F43" s="85"/>
    </row>
    <row r="44" spans="4:6">
      <c r="D44" s="29"/>
      <c r="E44" s="25"/>
      <c r="F44" s="85"/>
    </row>
    <row r="45" spans="4:6">
      <c r="D45" s="29"/>
      <c r="E45" s="25"/>
      <c r="F45" s="26"/>
    </row>
    <row r="46" spans="4:6">
      <c r="D46" s="29"/>
      <c r="E46" s="25"/>
      <c r="F46" s="26"/>
    </row>
    <row r="47" spans="4:6">
      <c r="D47" s="29"/>
      <c r="E47" s="25"/>
      <c r="F47" s="26"/>
    </row>
    <row r="48" spans="4:6">
      <c r="D48" s="29"/>
      <c r="E48" s="25"/>
      <c r="F48" s="26"/>
    </row>
    <row r="49" spans="4:6">
      <c r="D49" s="29"/>
      <c r="E49" s="25"/>
      <c r="F49" s="26"/>
    </row>
    <row r="50" spans="4:6">
      <c r="D50" s="30"/>
      <c r="E50" s="31"/>
      <c r="F50" s="32"/>
    </row>
  </sheetData>
  <sheetProtection selectLockedCells="1"/>
  <dataValidations count="2">
    <dataValidation type="list" allowBlank="1" showInputMessage="1" showErrorMessage="1" sqref="B26:B27 B3:B5 B8:B23 D11 D8">
      <formula1>TrueFalse</formula1>
    </dataValidation>
    <dataValidation type="list" allowBlank="1" showInputMessage="1" showErrorMessage="1" sqref="B2">
      <formula1>HiddenStatuses</formula1>
    </dataValidation>
  </dataValidations>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vt:i4>
      </vt:variant>
    </vt:vector>
  </HeadingPairs>
  <TitlesOfParts>
    <vt:vector size="3" baseType="lpstr">
      <vt:lpstr>Home</vt:lpstr>
      <vt:lpstr>Data</vt:lpstr>
      <vt:lpstr>Blank page</vt:lpstr>
    </vt:vector>
  </TitlesOfParts>
  <Company>EnginExcel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EnginExcel</dc:creator>
  <cp:lastModifiedBy>Alessandro Mazza</cp:lastModifiedBy>
  <cp:revision>1</cp:revision>
  <dcterms:created xsi:type="dcterms:W3CDTF">2006-09-25T09:17:32Z</dcterms:created>
  <dcterms:modified xsi:type="dcterms:W3CDTF">2018-06-06T18:25:29Z</dcterms:modified>
  <cp:version>4</cp:version>
</cp:coreProperties>
</file>